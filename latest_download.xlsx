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Weather" sheetId="1" r:id="rId4"/>
    <sheet state="visible" name="Dividend portfolio" sheetId="2" r:id="rId5"/>
    <sheet state="visible" name="Long Term" sheetId="3" r:id="rId6"/>
    <sheet state="visible" name="Options 2022" sheetId="4" r:id="rId7"/>
    <sheet state="visible" name="Options 2023" sheetId="5" r:id="rId8"/>
    <sheet state="visible" name="Options 2024" sheetId="6" r:id="rId9"/>
    <sheet state="visible" name="Options 2025" sheetId="7" r:id="rId10"/>
    <sheet state="visible" name="Portfolio" sheetId="8" r:id="rId11"/>
    <sheet state="visible" name="Option strategies" sheetId="9" r:id="rId12"/>
    <sheet state="visible" name="StockRover" sheetId="10" r:id="rId13"/>
    <sheet state="visible" name="Citi funds" sheetId="11" r:id="rId14"/>
    <sheet state="visible" name="PCA" sheetId="12" r:id="rId15"/>
  </sheets>
  <definedNames>
    <definedName hidden="1" localSheetId="3" name="_xlnm._FilterDatabase">'Options 2022'!$A$1:$V$87</definedName>
    <definedName hidden="1" localSheetId="4" name="_xlnm._FilterDatabase">'Options 2023'!$A$2:$W$77</definedName>
    <definedName hidden="1" localSheetId="5" name="_xlnm._FilterDatabase">'Options 2024'!$A$2:$X$78</definedName>
    <definedName hidden="1" localSheetId="6" name="_xlnm._FilterDatabase">'Options 2025'!$A$2:$X$155</definedName>
  </definedNames>
  <calcPr/>
</workbook>
</file>

<file path=xl/sharedStrings.xml><?xml version="1.0" encoding="utf-8"?>
<sst xmlns="http://schemas.openxmlformats.org/spreadsheetml/2006/main" count="2721" uniqueCount="701">
  <si>
    <t>DBC</t>
  </si>
  <si>
    <t>COMT</t>
  </si>
  <si>
    <t>GLD</t>
  </si>
  <si>
    <t>IEF</t>
  </si>
  <si>
    <t>TLT</t>
  </si>
  <si>
    <t>VTI</t>
  </si>
  <si>
    <t>SPMO</t>
  </si>
  <si>
    <t>SHY</t>
  </si>
  <si>
    <t>TIP</t>
  </si>
  <si>
    <t>Cash GBP/CHF</t>
  </si>
  <si>
    <t>GBP_USD</t>
  </si>
  <si>
    <t>CHF_USD</t>
  </si>
  <si>
    <t>Total Stock</t>
  </si>
  <si>
    <t>Tot Cash $</t>
  </si>
  <si>
    <t>Rem. Cash</t>
  </si>
  <si>
    <t>Dividends</t>
  </si>
  <si>
    <t>Total Qty</t>
  </si>
  <si>
    <t>Total</t>
  </si>
  <si>
    <t>Portfolio return</t>
  </si>
  <si>
    <t>Total Amt</t>
  </si>
  <si>
    <t>%</t>
  </si>
  <si>
    <t>Target %</t>
  </si>
  <si>
    <t>Target amt</t>
  </si>
  <si>
    <t>Difference</t>
  </si>
  <si>
    <t>Qty to buy</t>
  </si>
  <si>
    <t>Amt to spend</t>
  </si>
  <si>
    <t>New Qty</t>
  </si>
  <si>
    <t>New Amount</t>
  </si>
  <si>
    <t>Actual %</t>
  </si>
  <si>
    <t>VGLT is an alternative to TLT with better expense ratio. can buy those instead. No need to sell TLT, can have both for the time being as the difference is not huge.</t>
  </si>
  <si>
    <t>FNV is an alternative to GLD, this is streamer vs pure gold, can have them 50/50 as a split</t>
  </si>
  <si>
    <t>VNQ is Vanguard Real estate ETF (REIT), Consider STAG as better alternative with higher dividends and growth perspecive</t>
  </si>
  <si>
    <t>Qty</t>
  </si>
  <si>
    <t>Price</t>
  </si>
  <si>
    <t>Date</t>
  </si>
  <si>
    <t>RIO</t>
  </si>
  <si>
    <t>CTO</t>
  </si>
  <si>
    <t>OBDC</t>
  </si>
  <si>
    <t>EPD</t>
  </si>
  <si>
    <t>HTGC</t>
  </si>
  <si>
    <t>ABR</t>
  </si>
  <si>
    <t>ARCC</t>
  </si>
  <si>
    <t>PDX</t>
  </si>
  <si>
    <t>IBM</t>
  </si>
  <si>
    <t>CVS</t>
  </si>
  <si>
    <t>VZ</t>
  </si>
  <si>
    <t>ABBV</t>
  </si>
  <si>
    <t>IIPR</t>
  </si>
  <si>
    <t>Invested</t>
  </si>
  <si>
    <t>Current value</t>
  </si>
  <si>
    <t>Gain</t>
  </si>
  <si>
    <t>IRR</t>
  </si>
  <si>
    <t>Current</t>
  </si>
  <si>
    <t>Target</t>
  </si>
  <si>
    <t>GOOGL</t>
  </si>
  <si>
    <t>Amount</t>
  </si>
  <si>
    <t>Comment</t>
  </si>
  <si>
    <t>Options P&amp;L</t>
  </si>
  <si>
    <t>ASAN</t>
  </si>
  <si>
    <t>CROX</t>
  </si>
  <si>
    <t>AAPL</t>
  </si>
  <si>
    <t>WING</t>
  </si>
  <si>
    <t>RCAT</t>
  </si>
  <si>
    <t>NVDA</t>
  </si>
  <si>
    <t>LHDX</t>
  </si>
  <si>
    <t>All others</t>
  </si>
  <si>
    <t>Put assigned</t>
  </si>
  <si>
    <t>Stock P&amp;L</t>
  </si>
  <si>
    <t>Put assignment</t>
  </si>
  <si>
    <t>Grand total</t>
  </si>
  <si>
    <t>Call assigned to compensate above</t>
  </si>
  <si>
    <t>Call Assigned</t>
  </si>
  <si>
    <t>Call assigned</t>
  </si>
  <si>
    <t>IBKR</t>
  </si>
  <si>
    <t>NLR</t>
  </si>
  <si>
    <t>GLW</t>
  </si>
  <si>
    <t>Put assigned as planned</t>
  </si>
  <si>
    <t>NEM</t>
  </si>
  <si>
    <t>FTNT</t>
  </si>
  <si>
    <t>CI</t>
  </si>
  <si>
    <t>ZAP</t>
  </si>
  <si>
    <t>EPAM</t>
  </si>
  <si>
    <t>META</t>
  </si>
  <si>
    <t>VRTX</t>
  </si>
  <si>
    <t>Profit</t>
  </si>
  <si>
    <t>PRGO</t>
  </si>
  <si>
    <t>Options profit</t>
  </si>
  <si>
    <t>Sold through option</t>
  </si>
  <si>
    <t>MPWR</t>
  </si>
  <si>
    <t>CPRT</t>
  </si>
  <si>
    <t>Loss</t>
  </si>
  <si>
    <t>Sold to get rid of assgined put</t>
  </si>
  <si>
    <t>Sold assigned quantities</t>
  </si>
  <si>
    <t>Trans date</t>
  </si>
  <si>
    <t>Tiker</t>
  </si>
  <si>
    <t>Type</t>
  </si>
  <si>
    <t>Action</t>
  </si>
  <si>
    <t>Expiration</t>
  </si>
  <si>
    <t>Strike</t>
  </si>
  <si>
    <t>Comission</t>
  </si>
  <si>
    <t>Total Profit</t>
  </si>
  <si>
    <t>Total loss</t>
  </si>
  <si>
    <t>Total P&amp;L</t>
  </si>
  <si>
    <t>IV</t>
  </si>
  <si>
    <t>Hist. volatility</t>
  </si>
  <si>
    <t>VIX</t>
  </si>
  <si>
    <t>Max Win probab</t>
  </si>
  <si>
    <t>Max Lose probab</t>
  </si>
  <si>
    <t>Profit probability</t>
  </si>
  <si>
    <t>Max Loss</t>
  </si>
  <si>
    <t>Return / Risk</t>
  </si>
  <si>
    <t>Liquidity</t>
  </si>
  <si>
    <t>Call</t>
  </si>
  <si>
    <t>Sell</t>
  </si>
  <si>
    <t>Nov19'21</t>
  </si>
  <si>
    <t>expired OTM</t>
  </si>
  <si>
    <t>Put</t>
  </si>
  <si>
    <t>Dec17'21</t>
  </si>
  <si>
    <t>Assigned! But sold at 21. See next line</t>
  </si>
  <si>
    <t>Mixed with Butterfly and cancelled out too early</t>
  </si>
  <si>
    <t>expirred OTM</t>
  </si>
  <si>
    <t>Iron butterfly</t>
  </si>
  <si>
    <t>5/7.5</t>
  </si>
  <si>
    <t>Assigned but sold later with profit of 52</t>
  </si>
  <si>
    <t>Jan21'22</t>
  </si>
  <si>
    <t>&lt;1%</t>
  </si>
  <si>
    <t>21/12.2021</t>
  </si>
  <si>
    <t>Bull put</t>
  </si>
  <si>
    <t>2.5/5</t>
  </si>
  <si>
    <t>Put assigned. But sold on 01/03 for 5.215</t>
  </si>
  <si>
    <t>Assigned, compensated prevous put.</t>
  </si>
  <si>
    <t>Feb18'22</t>
  </si>
  <si>
    <t>Mar18'22</t>
  </si>
  <si>
    <t>Assigned. Paper loss as not sold yet.</t>
  </si>
  <si>
    <t>Sold call as want to re-balance. This is instead of selling DBC directly.</t>
  </si>
  <si>
    <t>Buy</t>
  </si>
  <si>
    <t>Jun17'22</t>
  </si>
  <si>
    <t>Apr14'22</t>
  </si>
  <si>
    <t>Closed for $7, 4 days before expiry</t>
  </si>
  <si>
    <t>Closed for $5, 4 days before expiry</t>
  </si>
  <si>
    <t>May20'22</t>
  </si>
  <si>
    <t>Assigned but sold in august for 60.</t>
  </si>
  <si>
    <t>Assigned as planned</t>
  </si>
  <si>
    <t>Aug19'22</t>
  </si>
  <si>
    <t>assigned and sold as planned to compensate for earlier assignment</t>
  </si>
  <si>
    <t xml:space="preserve">closed in advance on drop, as was going up </t>
  </si>
  <si>
    <t>Sep16'22</t>
  </si>
  <si>
    <t>closed on 19/08 in advance</t>
  </si>
  <si>
    <t>Bear call</t>
  </si>
  <si>
    <t>Dec16'22</t>
  </si>
  <si>
    <t>100/110</t>
  </si>
  <si>
    <t>see below, closed with profit of 390</t>
  </si>
  <si>
    <t>sold half on 19/08 to book some profit</t>
  </si>
  <si>
    <t>closed and booked some profit</t>
  </si>
  <si>
    <t>Expired OTM</t>
  </si>
  <si>
    <t>Nov18'22</t>
  </si>
  <si>
    <t>17.5/12.5</t>
  </si>
  <si>
    <t>closed on sept 8th to book profit</t>
  </si>
  <si>
    <t>Sep2'22</t>
  </si>
  <si>
    <t>Sep23'22</t>
  </si>
  <si>
    <t>Bear Call</t>
  </si>
  <si>
    <t>90/95</t>
  </si>
  <si>
    <t xml:space="preserve">Closed after 3 days </t>
  </si>
  <si>
    <t>Bull Put</t>
  </si>
  <si>
    <t>Oct21'22</t>
  </si>
  <si>
    <t>180/175</t>
  </si>
  <si>
    <t>15/12.5</t>
  </si>
  <si>
    <t>Butterfly</t>
  </si>
  <si>
    <t>170/180/190</t>
  </si>
  <si>
    <t>Corrective butterfly in 24 days to try and fix bleeding Bull put above. Sold 2 days before expiration.</t>
  </si>
  <si>
    <t>Oct28'22</t>
  </si>
  <si>
    <t>110/111</t>
  </si>
  <si>
    <t>Intended to take profit earlier but didn't - learning!</t>
  </si>
  <si>
    <t>85/95/105</t>
  </si>
  <si>
    <t>Significant loss due to mistake in correction. Butterfly screwed the call.</t>
  </si>
  <si>
    <t>17.5/15</t>
  </si>
  <si>
    <t>12.5/17.5/22.5</t>
  </si>
  <si>
    <t>Might have weighed a bit to get into positive zone on good dynamic but decided not to riisk</t>
  </si>
  <si>
    <t>105/107.5</t>
  </si>
  <si>
    <t>Closed earlier to fix the profit</t>
  </si>
  <si>
    <t>Iron condor</t>
  </si>
  <si>
    <t>170/175 195/200</t>
  </si>
  <si>
    <t>Bought back 175 put to realize early profit of PUT leg - bad idea to break the pair, useless move and costly</t>
  </si>
  <si>
    <t>185/180</t>
  </si>
  <si>
    <t>"Moved" low condor limit up as to far and can benefit</t>
  </si>
  <si>
    <t>Corrective butterfly to shift from 195/200 to 200/205</t>
  </si>
  <si>
    <t>Corrective butterfly to shift from 200/205 to 205/210, sold 210 call on 12/12 to get at least a bit more profit</t>
  </si>
  <si>
    <t>Jan20'23</t>
  </si>
  <si>
    <t>Corrective call to neutralize delta</t>
  </si>
  <si>
    <t>115/120</t>
  </si>
  <si>
    <t>Assigned, but sold 400 of 1000 @$15 in Feb 2023 and 600 @16 on March 17 2023</t>
  </si>
  <si>
    <t xml:space="preserve"> Sell</t>
  </si>
  <si>
    <t>How Market is doing?</t>
  </si>
  <si>
    <t>Is option expensive or cheap, should I Sell/Buy?</t>
  </si>
  <si>
    <t>Volatility ahead?</t>
  </si>
  <si>
    <t>Liquide?</t>
  </si>
  <si>
    <t>@</t>
  </si>
  <si>
    <t>Corporate events?</t>
  </si>
  <si>
    <t>Bid/Ask spread</t>
  </si>
  <si>
    <t>No</t>
  </si>
  <si>
    <t>Feb17'23</t>
  </si>
  <si>
    <t>Closed in one day</t>
  </si>
  <si>
    <t>infinity</t>
  </si>
  <si>
    <t>n/a</t>
  </si>
  <si>
    <t>SPY</t>
  </si>
  <si>
    <t>353/350</t>
  </si>
  <si>
    <t>Closed on 10-Jan</t>
  </si>
  <si>
    <t>79.5/77.5</t>
  </si>
  <si>
    <t>Closed on 11-Jan</t>
  </si>
  <si>
    <t>10/7.5</t>
  </si>
  <si>
    <t>Closed on 13-Jan</t>
  </si>
  <si>
    <t>Yes 7/02</t>
  </si>
  <si>
    <t>80/75</t>
  </si>
  <si>
    <t>Closed on 23-Jan</t>
  </si>
  <si>
    <t>376/373</t>
  </si>
  <si>
    <t>Closed on 31-Jan</t>
  </si>
  <si>
    <t>Assigned but OK to fix profit</t>
  </si>
  <si>
    <t>Mar17'23</t>
  </si>
  <si>
    <t>431/433</t>
  </si>
  <si>
    <t>Closed on 17/02 to take profit</t>
  </si>
  <si>
    <t>85/83</t>
  </si>
  <si>
    <t>Closed on 8/3/2023</t>
  </si>
  <si>
    <t>418/420</t>
  </si>
  <si>
    <t>Closed on 2/3/2023</t>
  </si>
  <si>
    <t>Apr21'23</t>
  </si>
  <si>
    <t>420/422</t>
  </si>
  <si>
    <t>Closed on 16/3/2023</t>
  </si>
  <si>
    <t>Assigned, bough as planned</t>
  </si>
  <si>
    <t>Yes (8/03)</t>
  </si>
  <si>
    <t>Assigned, sold to fix profit from previous assignment</t>
  </si>
  <si>
    <t>Closed on 23/03/2023</t>
  </si>
  <si>
    <t>C</t>
  </si>
  <si>
    <t>Yes 13/04</t>
  </si>
  <si>
    <t>Ready to buy @45</t>
  </si>
  <si>
    <t>Ready to buy @20. Assigned but OK</t>
  </si>
  <si>
    <t>Yes</t>
  </si>
  <si>
    <t>May19'23</t>
  </si>
  <si>
    <t>Ready to buy @145</t>
  </si>
  <si>
    <t>Ready to sell @125, rolled over to next month at 130 due to high growth. Closed 4/05/2023</t>
  </si>
  <si>
    <t>Closed on 8/5/2023</t>
  </si>
  <si>
    <t>Jun16'23</t>
  </si>
  <si>
    <t xml:space="preserve">Ready to buy @155 </t>
  </si>
  <si>
    <t>80/85 105/110</t>
  </si>
  <si>
    <t>Rolled over to May, bull put expired, rolled to 106/110</t>
  </si>
  <si>
    <t>411/413</t>
  </si>
  <si>
    <t xml:space="preserve">Mistake with closing too early as was showing profit when it was not. </t>
  </si>
  <si>
    <t>397/395</t>
  </si>
  <si>
    <t>427/429</t>
  </si>
  <si>
    <t>Moving to higher levels</t>
  </si>
  <si>
    <t>391/389</t>
  </si>
  <si>
    <t>Moving to higher levels 418/416, 421/419, 424/422</t>
  </si>
  <si>
    <t>Assigned but OK</t>
  </si>
  <si>
    <t>Jul21'23</t>
  </si>
  <si>
    <t>Aug18'23</t>
  </si>
  <si>
    <t>Closed on 27/07</t>
  </si>
  <si>
    <t>Assigned</t>
  </si>
  <si>
    <t>466/468</t>
  </si>
  <si>
    <t>Closed on 3/08</t>
  </si>
  <si>
    <t>459/461</t>
  </si>
  <si>
    <t>Sep15'23</t>
  </si>
  <si>
    <t>Closed on 09/08/2023</t>
  </si>
  <si>
    <t>XP</t>
  </si>
  <si>
    <t>Wall of calls at 28</t>
  </si>
  <si>
    <t>Sep 15'23</t>
  </si>
  <si>
    <t>NKLA</t>
  </si>
  <si>
    <t>Calendar Call</t>
  </si>
  <si>
    <t>Sep 08/Sep 22</t>
  </si>
  <si>
    <t>455/457</t>
  </si>
  <si>
    <t>Sep 15/Sep 29</t>
  </si>
  <si>
    <t>?</t>
  </si>
  <si>
    <t>Nov 17'23</t>
  </si>
  <si>
    <t>Oct 20'23</t>
  </si>
  <si>
    <t>415/413</t>
  </si>
  <si>
    <t>10/112023</t>
  </si>
  <si>
    <t>Nov 24'23</t>
  </si>
  <si>
    <t>448/450</t>
  </si>
  <si>
    <t>Rolled for 1 week to 24th</t>
  </si>
  <si>
    <t>Dec 15'23</t>
  </si>
  <si>
    <t>465/467</t>
  </si>
  <si>
    <t>Jan 19'24</t>
  </si>
  <si>
    <t>Expired</t>
  </si>
  <si>
    <t>Bear Put</t>
  </si>
  <si>
    <t>bought</t>
  </si>
  <si>
    <t>190/195</t>
  </si>
  <si>
    <t>Assigned but made profit</t>
  </si>
  <si>
    <t>Corporate calendar</t>
  </si>
  <si>
    <t>Profit %</t>
  </si>
  <si>
    <t>16.02.2024</t>
  </si>
  <si>
    <t>Expired OOM</t>
  </si>
  <si>
    <t>15.03.2024</t>
  </si>
  <si>
    <t>19.04.2024</t>
  </si>
  <si>
    <t>Closed ahead</t>
  </si>
  <si>
    <t>17.05.2024</t>
  </si>
  <si>
    <t>21.06.2024</t>
  </si>
  <si>
    <t>closed to avoid losses</t>
  </si>
  <si>
    <t>19.07.2024</t>
  </si>
  <si>
    <t>Closed in advance to book profit</t>
  </si>
  <si>
    <t>16.08.2024</t>
  </si>
  <si>
    <t>20.09.2024</t>
  </si>
  <si>
    <t>18.10.2024</t>
  </si>
  <si>
    <t>MTDR</t>
  </si>
  <si>
    <t>15.11.2024</t>
  </si>
  <si>
    <t>20.12.2024</t>
  </si>
  <si>
    <t>17.01.2025</t>
  </si>
  <si>
    <t>Protective put moved to higher price</t>
  </si>
  <si>
    <t>Protective put</t>
  </si>
  <si>
    <t>IV 
(&gt;30%)</t>
  </si>
  <si>
    <t>Hist. vol.</t>
  </si>
  <si>
    <t>Profit probability 
(&gt;70%)</t>
  </si>
  <si>
    <t>Y</t>
  </si>
  <si>
    <t>N</t>
  </si>
  <si>
    <t>JD</t>
  </si>
  <si>
    <t>Moved from 6 to 7.5 to capture growth, then, assigned!</t>
  </si>
  <si>
    <t>Expired OOM. Moved to May from April and price from 110 to 120</t>
  </si>
  <si>
    <t xml:space="preserve">Expired OOM. </t>
  </si>
  <si>
    <t>Expired OOM. Moved 120-&gt;130.</t>
  </si>
  <si>
    <t>Expired OOM. Moved 70-&gt;85.</t>
  </si>
  <si>
    <t>Put/Call</t>
  </si>
  <si>
    <t>55/70</t>
  </si>
  <si>
    <t>Expired OOM. Risk reversal.</t>
  </si>
  <si>
    <t>10/14</t>
  </si>
  <si>
    <t>Moved from April 15 to May to June with higher strike</t>
  </si>
  <si>
    <t>Moved from April 200 to May 210 to June 215</t>
  </si>
  <si>
    <t>Moved from May 6 to June 6</t>
  </si>
  <si>
    <t>Moved from May to June</t>
  </si>
  <si>
    <t>Moved to Sept</t>
  </si>
  <si>
    <t>SHOP</t>
  </si>
  <si>
    <t>MU</t>
  </si>
  <si>
    <t>VRT</t>
  </si>
  <si>
    <t>ANF</t>
  </si>
  <si>
    <t>Call/Put</t>
  </si>
  <si>
    <t>89/69</t>
  </si>
  <si>
    <t>Long call and short put as a candidate for breakout.</t>
  </si>
  <si>
    <t>Moved to Aug</t>
  </si>
  <si>
    <t>RMBS</t>
  </si>
  <si>
    <t>ACMR</t>
  </si>
  <si>
    <t>Moved from Jul 105</t>
  </si>
  <si>
    <t>Moved from Jul 205</t>
  </si>
  <si>
    <t>Moved from Jul 180</t>
  </si>
  <si>
    <t>Assigned. Moved from Jul same strike.</t>
  </si>
  <si>
    <t>Moved from Jul to 175 strike</t>
  </si>
  <si>
    <t>ON</t>
  </si>
  <si>
    <t>Moved to 50 and Sept.</t>
  </si>
  <si>
    <t>ANET</t>
  </si>
  <si>
    <t>APH</t>
  </si>
  <si>
    <t>Moved from Aug 190 to 195</t>
  </si>
  <si>
    <t>Moved from Aug to 175 strike</t>
  </si>
  <si>
    <t>Moved from Aug 15 strike</t>
  </si>
  <si>
    <t>Moved from June w/o change of strike</t>
  </si>
  <si>
    <t>Expired. Move from Aug 55.</t>
  </si>
  <si>
    <t>Moved from Aug to same strike</t>
  </si>
  <si>
    <t>CCJ</t>
  </si>
  <si>
    <t>PSTG</t>
  </si>
  <si>
    <t>TER</t>
  </si>
  <si>
    <t>HCC</t>
  </si>
  <si>
    <t>CELH</t>
  </si>
  <si>
    <t>PAAS</t>
  </si>
  <si>
    <t>SSRM</t>
  </si>
  <si>
    <t>NVT</t>
  </si>
  <si>
    <t>TSEM</t>
  </si>
  <si>
    <t>LOGI</t>
  </si>
  <si>
    <t>AMKR</t>
  </si>
  <si>
    <t>KGC</t>
  </si>
  <si>
    <t>Moved from Aug to increase profit</t>
  </si>
  <si>
    <t>IVZ</t>
  </si>
  <si>
    <t>BKR</t>
  </si>
  <si>
    <t>SLB</t>
  </si>
  <si>
    <t>HAL</t>
  </si>
  <si>
    <t>HL</t>
  </si>
  <si>
    <t>ERO</t>
  </si>
  <si>
    <t>IAG</t>
  </si>
  <si>
    <t>Moved from Aug $195, moved from Dec $210</t>
  </si>
  <si>
    <t>Moved from Aug $210, moved from Dec 220</t>
  </si>
  <si>
    <t>Category</t>
  </si>
  <si>
    <t>Position (Ticker)</t>
  </si>
  <si>
    <t>Allocated Value (USD)</t>
  </si>
  <si>
    <t>Currency</t>
  </si>
  <si>
    <t>Sector</t>
  </si>
  <si>
    <t>Geography</t>
  </si>
  <si>
    <t>Industry / Theme</t>
  </si>
  <si>
    <t>Core Thematic ETFs</t>
  </si>
  <si>
    <t>XLV</t>
  </si>
  <si>
    <t>USD</t>
  </si>
  <si>
    <t>Health Care</t>
  </si>
  <si>
    <t>USA</t>
  </si>
  <si>
    <t>US Healthcare (Pharma Biotech Equipment)</t>
  </si>
  <si>
    <t>Energy / Utilities</t>
  </si>
  <si>
    <t>Global</t>
  </si>
  <si>
    <t>Nuclear Energy &amp; Uranium</t>
  </si>
  <si>
    <t>GRID</t>
  </si>
  <si>
    <t>Industrials / Technology</t>
  </si>
  <si>
    <t>Grid &amp; Electrification Infrastructure</t>
  </si>
  <si>
    <t>ITA</t>
  </si>
  <si>
    <t>Industrials</t>
  </si>
  <si>
    <t>US Aerospace &amp; Defense</t>
  </si>
  <si>
    <t>EWL</t>
  </si>
  <si>
    <t>Multi-Sector</t>
  </si>
  <si>
    <t>Switzerland</t>
  </si>
  <si>
    <t>Swiss Equities (Healthcare Financials etc.)</t>
  </si>
  <si>
    <t>ESIT</t>
  </si>
  <si>
    <t>EUR</t>
  </si>
  <si>
    <t>Technology</t>
  </si>
  <si>
    <t>Europe</t>
  </si>
  <si>
    <t>European Technology (Non-Mainstream)</t>
  </si>
  <si>
    <t>DGIN</t>
  </si>
  <si>
    <t>Technology / Comms.</t>
  </si>
  <si>
    <t>India</t>
  </si>
  <si>
    <t>Digital India (Non-Mainstream EM)</t>
  </si>
  <si>
    <t>Portfolio Stabilizers</t>
  </si>
  <si>
    <t>IEO</t>
  </si>
  <si>
    <t>Energy</t>
  </si>
  <si>
    <t>Oil &amp; Gas Exploration &amp; Production</t>
  </si>
  <si>
    <t>Satellite Individual Stocks</t>
  </si>
  <si>
    <t>Communication Services</t>
  </si>
  <si>
    <t>Internet Content &amp; Information</t>
  </si>
  <si>
    <t>Semiconductors</t>
  </si>
  <si>
    <t>Computer Manufacturing</t>
  </si>
  <si>
    <t>Cybersecurity</t>
  </si>
  <si>
    <t>Pharmaceuticals / Biotechnology</t>
  </si>
  <si>
    <t>Health Care Providers &amp; Services</t>
  </si>
  <si>
    <t>Telecom Services (Income)</t>
  </si>
  <si>
    <t>Packaged Software (High Rebound)</t>
  </si>
  <si>
    <t>Commodity</t>
  </si>
  <si>
    <t>Physical Gold</t>
  </si>
  <si>
    <t>BTC</t>
  </si>
  <si>
    <t>Alternative</t>
  </si>
  <si>
    <t>Cryptocurrency</t>
  </si>
  <si>
    <t>ETH</t>
  </si>
  <si>
    <t>Cash</t>
  </si>
  <si>
    <t>CHF Cash</t>
  </si>
  <si>
    <t>CHF</t>
  </si>
  <si>
    <t>Strategic Reserve</t>
  </si>
  <si>
    <t>Same theme</t>
  </si>
  <si>
    <t>AIFS</t>
  </si>
  <si>
    <t>AI Infrastructure</t>
  </si>
  <si>
    <t>VVSM is alternative</t>
  </si>
  <si>
    <t>VVSM</t>
  </si>
  <si>
    <t>Semiconductor</t>
  </si>
  <si>
    <t>RBOT</t>
  </si>
  <si>
    <t>Robotics</t>
  </si>
  <si>
    <t>EMQQ</t>
  </si>
  <si>
    <t>EM Internet</t>
  </si>
  <si>
    <t>NATO</t>
  </si>
  <si>
    <t>Future of defense</t>
  </si>
  <si>
    <t>DFENG</t>
  </si>
  <si>
    <t>BTEC</t>
  </si>
  <si>
    <t>Biotech</t>
  </si>
  <si>
    <t>Nuclear</t>
  </si>
  <si>
    <t>NUKL</t>
  </si>
  <si>
    <t>Infrastructure</t>
  </si>
  <si>
    <t>DFEN</t>
  </si>
  <si>
    <t>Defense</t>
  </si>
  <si>
    <t>Leveraged. No!</t>
  </si>
  <si>
    <t>KWEB</t>
  </si>
  <si>
    <t>China Internet</t>
  </si>
  <si>
    <t>QQQ</t>
  </si>
  <si>
    <t>IBB</t>
  </si>
  <si>
    <t>instead of XLV</t>
  </si>
  <si>
    <t>Description</t>
  </si>
  <si>
    <t>Profit driver</t>
  </si>
  <si>
    <t>Drainers</t>
  </si>
  <si>
    <t>Volatility</t>
  </si>
  <si>
    <t>Adjustments</t>
  </si>
  <si>
    <t>Comments</t>
  </si>
  <si>
    <t>Debit spreads</t>
  </si>
  <si>
    <t>Extension of single long options. Buy long and sell short option.</t>
  </si>
  <si>
    <t>Directional</t>
  </si>
  <si>
    <t>Price change</t>
  </si>
  <si>
    <t>Time decay</t>
  </si>
  <si>
    <t>buy at low volatility as price grows if high volatility</t>
  </si>
  <si>
    <t>Take part profit if arises, close if goes against.</t>
  </si>
  <si>
    <t>better than single option as reduces time decay, moderates delta and vega</t>
  </si>
  <si>
    <t>Credit speads</t>
  </si>
  <si>
    <t>Extension of single short options. Sell short option and buy long option.</t>
  </si>
  <si>
    <t>Price change, time decay</t>
  </si>
  <si>
    <t>sell at high as prices at max</t>
  </si>
  <si>
    <t>if goes against, buy in the money option for next month to reduce time decay as in the money and longer</t>
  </si>
  <si>
    <t>Straddle/Strangle (debit)</t>
  </si>
  <si>
    <t>Buy in the money put and call for straddle and move them apart for strangle which reduces risk and price, yet, slower to generate profit.</t>
  </si>
  <si>
    <t>Non-directional, assumes that stock moves fast in any direction.</t>
  </si>
  <si>
    <t>Fast move of the price needed, delta drives profitability. Also, vega increase can help.</t>
  </si>
  <si>
    <t>Very big time decay issue as two long options. Needs to generate profit in few days and move out fast.
Volatility reduction is also massive potential drainer, if starts to go down. So, ideally put it when volatility low.</t>
  </si>
  <si>
    <t>Works for high volatility environment with fast and strong moves.</t>
  </si>
  <si>
    <t>If stock grows, volatility drops and it drains profit. Can be reduced by selling a put out of the money. Yet, will increase delta and can hurt if stock starts dropping. Also reduces time decay, which is good. Yet, this adjustment limits upside in case of drop of price due to short put.
Similarly, could put a short call in addition or as a standalon, to pick up more premium or mitigate move down.</t>
  </si>
  <si>
    <t>Strangles not really recommended as even more difficult to make a profit.</t>
  </si>
  <si>
    <t>Iron condor (credit)</t>
  </si>
  <si>
    <t>Two credit spreads one with put and one with call. Typically, idea to have delta neutral position at the start with probability below 20%. Legs are equally spaced on both sides.</t>
  </si>
  <si>
    <t>Non-directional, assumes that stock does not move far and stays in the current corridor.</t>
  </si>
  <si>
    <t>Time decay is the driver as have two short options.</t>
  </si>
  <si>
    <t>Volatility increase will drain it, as well as move of price close to the limits.</t>
  </si>
  <si>
    <t>preferably to have volatility going down.</t>
  </si>
  <si>
    <t>Similar to credit spreads. Addtional option is to roll a stuggling side to next month.</t>
  </si>
  <si>
    <t>Calendar (debit)</t>
  </si>
  <si>
    <t>Sell at the money put or call closer to today and buy at the money put or call with longer period. No difference to use put or call. Starts delta neutral.</t>
  </si>
  <si>
    <t>Non-directional, profits from limited move, similar to the condor.</t>
  </si>
  <si>
    <t>Time decay on a short option. Yet, the price should not go very far from initial price to make a profit.</t>
  </si>
  <si>
    <t>Price moving out of original price to the limits. Volatility decrease.</t>
  </si>
  <si>
    <t>Double calendar to expant the profit zone at the struggling end. Can do triple and quadrouple as well.</t>
  </si>
  <si>
    <t>Low probability of profit! Requires stock to stay in the narrow range.</t>
  </si>
  <si>
    <t>Diagonal (debit)</t>
  </si>
  <si>
    <t>Similar to calendar but back month option is out of the money (bying). It reduces the cost of bying.We also reduce slightly positive Vega as going out of the money. It also creates slight directional and delta biases. Still, it is Theta positive and Vega positive. Same as for diagonal, can use either puts or calls. No major difference.</t>
  </si>
  <si>
    <t>Mostly non-directional.</t>
  </si>
  <si>
    <t>Also, as above, time decay strategy. And, assumes the price does not go too far from original level. Otherwise, needs adjustment.</t>
  </si>
  <si>
    <t>Price moving out of original at the money price. Volatility decrease but a bit less with the calendar.</t>
  </si>
  <si>
    <t>If volatility drops, we lose profit as the positiion is Vega positive.</t>
  </si>
  <si>
    <t>Similar adjustments to a calendar, can adjust to double diagonal. Might also roll it but complicated.</t>
  </si>
  <si>
    <t>Relatively exotic straetegy and may be somewhat difficult to control. Might not be worth it.</t>
  </si>
  <si>
    <t>Back spreads (debit)</t>
  </si>
  <si>
    <t>Has more long options than short options, typical rations are 2:1, 3:2 but can be more creative. If expect upside, use Calls, Puts for expected downside. Example, sell 10 at the money calls and buy 20 out of the money calls. Depending on chosen 2nd call strike, can have upsides at both ends except for the middle.</t>
  </si>
  <si>
    <t>Non-directonal but assimetric. Can have unlimited upside and limited downside. depends on how it is constructed.</t>
  </si>
  <si>
    <t>Fast and significant move to one of the directions.</t>
  </si>
  <si>
    <t>Time decay as have more long options than short. If stays in the middle zone will start generating losses.</t>
  </si>
  <si>
    <t>Volatility strategy and needs a move in a week or two, otherwise will have issue with time decay.</t>
  </si>
  <si>
    <t>Volatility strategy. Should be a credit spread, so strikes need to be selected appropriately. Need to pick strike prices so that we do not have too much loss with the white line, otherwise would be difficult to get out of valley of deaf.</t>
  </si>
  <si>
    <t>Ration spreads (credit)</t>
  </si>
  <si>
    <t>Opposite to backspread and have more short options than long options. Can be done with both calls and puts. Has unlimited loss at one side.</t>
  </si>
  <si>
    <t xml:space="preserve">Time decay </t>
  </si>
  <si>
    <t>Moves of prices in undesirable direction.</t>
  </si>
  <si>
    <t>as this short skewed, has negative Vega and loses if volativilty increases.</t>
  </si>
  <si>
    <t>Not most attactive strategy due to inlimited loss profile and high requirements to margin. It is still a credit spread and we get immediate credit. Both strikes can be in the money or close.</t>
  </si>
  <si>
    <t>Butterfly (debit)</t>
  </si>
  <si>
    <t>Bull spread + Bear spread with short options at the money. Low risk and high reward but in specific conditions. Mainly makes money only in last 15 days before expiry. The strategy is relatively low probability. Works best with 30-40 days before expiry. Can be done with both puts and calls. Example: sell 20 ATM calls, buy 10 ITM call and 10 OTM calls equally distant.</t>
  </si>
  <si>
    <t>Non-directional.</t>
  </si>
  <si>
    <t>Time decay. As two ATM options, they lose value most in last 15 days.</t>
  </si>
  <si>
    <t>Move out of narrow corridor of profit for the price.</t>
  </si>
  <si>
    <t>Vega negative - volatility drops we have a profit.</t>
  </si>
  <si>
    <t>Not easy to adjust</t>
  </si>
  <si>
    <t>High reward, low risk but low probability. Exotic strategy which may not be the best. 
There is one specific application that can be useful. In case Iron condor goes into trouble, butterfly can be used as a hedge for the condor. Butterfly added at the iron condor strike price if the side in trouble could convert a loss into a profit. Can put it with the shorter expiry dates vs condor to respect 15 days.</t>
  </si>
  <si>
    <t>Option walls</t>
  </si>
  <si>
    <t>https://www.barchart.com/options/open-interest-change/increase</t>
  </si>
  <si>
    <t>TNET call and put at 130 on 15/09 with price on 28/08 at 105</t>
  </si>
  <si>
    <t>Period/Screener</t>
  </si>
  <si>
    <t>Relative strength</t>
  </si>
  <si>
    <t>Small cap</t>
  </si>
  <si>
    <t>Capital Effic.</t>
  </si>
  <si>
    <t>CAN SLIM</t>
  </si>
  <si>
    <t>17 factors</t>
  </si>
  <si>
    <t>Safe performers</t>
  </si>
  <si>
    <t>Momentum</t>
  </si>
  <si>
    <t>Fair value</t>
  </si>
  <si>
    <t>Strong buys</t>
  </si>
  <si>
    <t>GARP</t>
  </si>
  <si>
    <t>Revert to mean</t>
  </si>
  <si>
    <t>EG Screener</t>
  </si>
  <si>
    <t>Vintage value inv</t>
  </si>
  <si>
    <t>Top 50 Revenue</t>
  </si>
  <si>
    <t>Large cap value</t>
  </si>
  <si>
    <t xml:space="preserve">Top stocks </t>
  </si>
  <si>
    <t>High shareholder yield</t>
  </si>
  <si>
    <t>Value + Dividends</t>
  </si>
  <si>
    <t>Dividends+Gr free cashflow</t>
  </si>
  <si>
    <t>Buffetology Insp</t>
  </si>
  <si>
    <t>Jan'22 - Jan'24</t>
  </si>
  <si>
    <t>YTD</t>
  </si>
  <si>
    <t>1 year</t>
  </si>
  <si>
    <t>2 years</t>
  </si>
  <si>
    <t>5 year</t>
  </si>
  <si>
    <t>No of tickers</t>
  </si>
  <si>
    <t>Find stocks with strong relative strength defined as consistent outperformance vs. the S&amp;P 500.</t>
  </si>
  <si>
    <t>Small caps with inexpensive valuation; good ROE with an upward trend; ranked according to sales and earnings combined with low valuation</t>
  </si>
  <si>
    <t>A screener composed of Stock Rover capital efficiency metrics.</t>
  </si>
  <si>
    <t>15/12/2024 v1</t>
  </si>
  <si>
    <t>15/12/2024 v2</t>
  </si>
  <si>
    <t>21/12/2024 v2</t>
  </si>
  <si>
    <t>21/12/2024 v1</t>
  </si>
  <si>
    <t>23/01/2025 v2</t>
  </si>
  <si>
    <t>23/01/2025 v1</t>
  </si>
  <si>
    <t>Fund</t>
  </si>
  <si>
    <t>ISIN</t>
  </si>
  <si>
    <t>Value</t>
  </si>
  <si>
    <t>Value $ 2022</t>
  </si>
  <si>
    <t>Value $ Nov'23</t>
  </si>
  <si>
    <t>Value $ May'24</t>
  </si>
  <si>
    <t>Value Aug'24</t>
  </si>
  <si>
    <t>Value Jan'25</t>
  </si>
  <si>
    <t>Value Oct'25</t>
  </si>
  <si>
    <t>ALLIANZ GLOBAL ARTIFICIAL INTELLIGENCE AT EUR HEDGED ACC</t>
  </si>
  <si>
    <t>LU1548497772</t>
  </si>
  <si>
    <t>ALLIANZ EUROPE EQUITY GROWTH AT USD HEDGED ACC</t>
  </si>
  <si>
    <t>LU0857590862</t>
  </si>
  <si>
    <t>ALLIANZ ORIENTAL INCOME AT USD ACC</t>
  </si>
  <si>
    <t>LU0348784397</t>
  </si>
  <si>
    <t>ALLIANZ INCOME AND GROWTH AM USD DIS</t>
  </si>
  <si>
    <t>LU0820561818</t>
  </si>
  <si>
    <t>FRANKLIN TECHNOLOGY A USD ACC</t>
  </si>
  <si>
    <t>LU0109392836</t>
  </si>
  <si>
    <t>JPMORGAN GLOBAL HEALTHCARE D USD ACC</t>
  </si>
  <si>
    <t>LU0432979960</t>
  </si>
  <si>
    <t>SCHRODER ISF FRONTIER MARKETS EQUITY A USD ACC</t>
  </si>
  <si>
    <t>LU0562313402</t>
  </si>
  <si>
    <t>SCHRODER ISF GLOBAL DIVIDEND MAXIMISER A USD DIS</t>
  </si>
  <si>
    <t>LU0306807586</t>
  </si>
  <si>
    <t>Product</t>
  </si>
  <si>
    <t>Short name</t>
  </si>
  <si>
    <t>Theme</t>
  </si>
  <si>
    <t>Management style</t>
  </si>
  <si>
    <t>Selection mode</t>
  </si>
  <si>
    <r>
      <rPr>
        <rFont val="Arial"/>
        <color rgb="FF1155CC"/>
        <sz val="12.0"/>
        <u/>
      </rPr>
      <t>UBS (Lux) Strategy Fund - Fixed Income (CHF) Q-acc (UBF)</t>
    </r>
    <r>
      <rPr>
        <rFont val="Arial"/>
        <sz val="12.0"/>
      </rPr>
      <t xml:space="preserve">
ISIN: LU1240799699</t>
    </r>
  </si>
  <si>
    <t>Focus Global Fixed Income</t>
  </si>
  <si>
    <t>Global
Sustainability</t>
  </si>
  <si>
    <t>Actively managed</t>
  </si>
  <si>
    <t>As simple as possible
Theme-based</t>
  </si>
  <si>
    <r>
      <rPr>
        <rFont val="sans-serif"/>
        <color rgb="FF1155CC"/>
        <sz val="12.0"/>
        <u/>
      </rPr>
      <t>UBS (Lux) Strategy SICAV - Income (CHF) Q-acc (UBF)</t>
    </r>
    <r>
      <rPr>
        <rFont val="sans-serif"/>
        <sz val="12.0"/>
      </rPr>
      <t xml:space="preserve">
ISIN: LU1240800968</t>
    </r>
  </si>
  <si>
    <t>Focus Global Income</t>
  </si>
  <si>
    <r>
      <rPr>
        <rFont val="sans-serif"/>
        <color rgb="FF1155CC"/>
        <sz val="12.0"/>
        <u/>
      </rPr>
      <t>UBS (CH) Equity Fund - Mid Caps Switzerland (CHF) QL</t>
    </r>
    <r>
      <rPr>
        <rFont val="sans-serif"/>
        <sz val="12.0"/>
      </rPr>
      <t xml:space="preserve">
ISIN: CH0560899525</t>
    </r>
  </si>
  <si>
    <t>Stocks - Switzerland</t>
  </si>
  <si>
    <t>Theme-based</t>
  </si>
  <si>
    <r>
      <rPr>
        <rFont val="sans-serif"/>
        <color rgb="FF1155CC"/>
        <sz val="12.0"/>
        <u/>
      </rPr>
      <t>UBS (Lux) Strategy Fund - Yield (CHF) Q-acc</t>
    </r>
    <r>
      <rPr>
        <rFont val="sans-serif"/>
        <sz val="12.0"/>
      </rPr>
      <t xml:space="preserve">
ISIN: LU0941351768</t>
    </r>
  </si>
  <si>
    <t>Focus - Global Yield</t>
  </si>
  <si>
    <t>Global
Sustainability</t>
  </si>
  <si>
    <t>As simple as possible 
Theme-based</t>
  </si>
  <si>
    <r>
      <rPr>
        <rFont val="sans-serif"/>
        <color rgb="FF1155CC"/>
        <sz val="12.0"/>
        <u/>
      </rPr>
      <t>UBS (Lux) Strategy Fund - Balanced (CHF) Q-acc</t>
    </r>
    <r>
      <rPr>
        <rFont val="sans-serif"/>
        <sz val="12.0"/>
      </rPr>
      <t xml:space="preserve">
ISIN: LU0941351099</t>
    </r>
  </si>
  <si>
    <t>Focus - Global Balanced</t>
  </si>
  <si>
    <r>
      <rPr>
        <rFont val="sans-serif"/>
        <color rgb="FF1155CC"/>
        <sz val="12.0"/>
        <u/>
      </rPr>
      <t>UBS (Lux) Strategy Fund - Growth (CHF) Q-acc</t>
    </r>
    <r>
      <rPr>
        <rFont val="sans-serif"/>
        <sz val="12.0"/>
      </rPr>
      <t xml:space="preserve">
ISIN: LU0941351412</t>
    </r>
  </si>
  <si>
    <t>Focus - Global Growth</t>
  </si>
  <si>
    <r>
      <rPr>
        <rFont val="sans-serif"/>
        <color rgb="FF1155CC"/>
        <sz val="12.0"/>
        <u/>
      </rPr>
      <t>UBS (Lux) Strategy Fund - Equity (CHF) Q-acc</t>
    </r>
    <r>
      <rPr>
        <rFont val="sans-serif"/>
        <sz val="12.0"/>
      </rPr>
      <t xml:space="preserve">
ISIN: LU1240799343</t>
    </r>
  </si>
  <si>
    <t>Focus - Global Equities</t>
  </si>
  <si>
    <r>
      <rPr>
        <rFont val="sans-serif"/>
        <color rgb="FF1155CC"/>
        <sz val="12.0"/>
        <u/>
      </rPr>
      <t>UBS (CH) Vitainvest - Passive 25 Sustainable Q</t>
    </r>
    <r>
      <rPr>
        <rFont val="sans-serif"/>
        <sz val="12.0"/>
      </rPr>
      <t xml:space="preserve">
ISIN: CH1110134124</t>
    </r>
  </si>
  <si>
    <t>Focus - Passive Yield</t>
  </si>
  <si>
    <t>Passively managed</t>
  </si>
  <si>
    <r>
      <rPr>
        <rFont val="sans-serif"/>
        <color rgb="FF1155CC"/>
        <sz val="12.0"/>
        <u/>
      </rPr>
      <t>UBS (CH) Vitainvest - Passive 50 Sustainable Q</t>
    </r>
    <r>
      <rPr>
        <rFont val="sans-serif"/>
        <sz val="12.0"/>
      </rPr>
      <t xml:space="preserve">
ISIN: CH1110134132</t>
    </r>
  </si>
  <si>
    <t>Focus - Passive Balanced</t>
  </si>
  <si>
    <r>
      <rPr>
        <rFont val="sans-serif"/>
        <color rgb="FF1155CC"/>
        <sz val="12.0"/>
        <u/>
      </rPr>
      <t>UBS (CH) Vitainvest - Passive 75 Sustainable Q</t>
    </r>
    <r>
      <rPr>
        <rFont val="sans-serif"/>
        <sz val="12.0"/>
      </rPr>
      <t xml:space="preserve">
ISIN: CH1110134140</t>
    </r>
  </si>
  <si>
    <t>Focus - Passive Growth</t>
  </si>
  <si>
    <r>
      <rPr>
        <rFont val="sans-serif"/>
        <color rgb="FF1155CC"/>
        <sz val="12.0"/>
        <u/>
      </rPr>
      <t>UBS (CH) Vitainvest - Passive 100 Sustainable Q</t>
    </r>
    <r>
      <rPr>
        <rFont val="sans-serif"/>
        <sz val="12.0"/>
      </rPr>
      <t xml:space="preserve">
ISIN: CH1110134157</t>
    </r>
  </si>
  <si>
    <t>Focus - Passive Equities</t>
  </si>
  <si>
    <r>
      <rPr>
        <rFont val="sans-serif"/>
        <color rgb="FF1155CC"/>
        <sz val="12.0"/>
        <u/>
      </rPr>
      <t>UBS (CH) Suisse - 25 (CHF) Q-dist</t>
    </r>
    <r>
      <rPr>
        <rFont val="sans-serif"/>
        <sz val="12.0"/>
      </rPr>
      <t xml:space="preserve">
ISIN: CH0210193519</t>
    </r>
  </si>
  <si>
    <t>Focus - Switzerland Yield</t>
  </si>
  <si>
    <r>
      <rPr>
        <rFont val="sans-serif"/>
        <color rgb="FF1155CC"/>
        <sz val="12.0"/>
        <u/>
      </rPr>
      <t>UBS (CH) Suisse - 45 (CHF) Q-dist</t>
    </r>
    <r>
      <rPr>
        <rFont val="sans-serif"/>
        <sz val="12.0"/>
      </rPr>
      <t xml:space="preserve">
ISIN: CH0210193535</t>
    </r>
  </si>
  <si>
    <t>Focus - Switzerland Balanced</t>
  </si>
  <si>
    <r>
      <rPr>
        <rFont val="sans-serif"/>
        <color rgb="FF1155CC"/>
        <sz val="12.0"/>
        <u/>
      </rPr>
      <t>UBS (CH) Suisse - 65 (CHF) Q-dist</t>
    </r>
    <r>
      <rPr>
        <rFont val="sans-serif"/>
        <sz val="12.0"/>
      </rPr>
      <t xml:space="preserve">
ISIN: CH0210193584</t>
    </r>
  </si>
  <si>
    <t>Focus - Switzerland Growth</t>
  </si>
  <si>
    <r>
      <rPr>
        <rFont val="sans-serif"/>
        <color rgb="FF1155CC"/>
        <sz val="12.0"/>
        <u/>
      </rPr>
      <t>UBS (Lux) Equity SICAV - Long Term Themes (USD) (CHF hedged) Q-acc</t>
    </r>
    <r>
      <rPr>
        <rFont val="sans-serif"/>
        <sz val="12.0"/>
      </rPr>
      <t xml:space="preserve">
ISIN: LU1323611423</t>
    </r>
  </si>
  <si>
    <t>Long-term trends</t>
  </si>
  <si>
    <t>Global 
Sustainability
Megatrends</t>
  </si>
  <si>
    <r>
      <rPr>
        <rFont val="sans-serif"/>
        <color rgb="FF1155CC"/>
        <sz val="12.0"/>
        <u/>
      </rPr>
      <t>UBS (Lux) Key Selection SICAV - Digital Transformation Themes (USD) (CHF hedged) Q-acc</t>
    </r>
    <r>
      <rPr>
        <rFont val="sans-serif"/>
        <sz val="12.0"/>
      </rPr>
      <t xml:space="preserve">
ISIN: LU2054466995</t>
    </r>
  </si>
  <si>
    <t>Digital transformation</t>
  </si>
  <si>
    <t>Global 
Digitalization 
Megatrends</t>
  </si>
  <si>
    <r>
      <rPr>
        <rFont val="sans-serif"/>
        <color rgb="FF1155CC"/>
        <sz val="12.0"/>
        <u/>
      </rPr>
      <t>UBS (Lux) Equity SICAV - Active Climate Aware (USD) (CHF hedged) Q-acc</t>
    </r>
    <r>
      <rPr>
        <rFont val="sans-serif"/>
        <sz val="12.0"/>
      </rPr>
      <t xml:space="preserve">
ISIN: LU2408499411</t>
    </r>
  </si>
  <si>
    <t>Climate awareness</t>
  </si>
  <si>
    <r>
      <rPr>
        <rFont val="sans-serif"/>
        <color rgb="FF1155CC"/>
        <sz val="12.0"/>
        <u/>
      </rPr>
      <t>UBS 100 Index-Fund Switzerland (CHF) Q</t>
    </r>
    <r>
      <rPr>
        <rFont val="sans-serif"/>
        <sz val="12.0"/>
      </rPr>
      <t xml:space="preserve">
ISIN: CH0203277022</t>
    </r>
  </si>
  <si>
    <r>
      <rPr>
        <rFont val="sans-serif"/>
        <color rgb="FF1155CC"/>
        <sz val="12.0"/>
        <u/>
      </rPr>
      <t>UBS (CH) Equity Fund - Swiss High Dividend (CHF) QL</t>
    </r>
    <r>
      <rPr>
        <rFont val="sans-serif"/>
        <sz val="12.0"/>
      </rPr>
      <t xml:space="preserve">
ISIN: CH0500707168</t>
    </r>
  </si>
  <si>
    <t>High-yield stocks - Switzerland</t>
  </si>
  <si>
    <t>Switzerland 
High dividend</t>
  </si>
  <si>
    <r>
      <rPr>
        <rFont val="sans-serif"/>
        <color rgb="FF1155CC"/>
        <sz val="12.0"/>
        <u/>
      </rPr>
      <t>UBS (Lux) Equity Fund - Sustainable Health Transformation (USD) (CHF hedged) Q-acc</t>
    </r>
    <r>
      <rPr>
        <rFont val="sans-serif"/>
        <sz val="12.0"/>
      </rPr>
      <t xml:space="preserve">
ISIN: LU2402148659</t>
    </r>
  </si>
  <si>
    <t>Health section transformation</t>
  </si>
  <si>
    <r>
      <rPr>
        <rFont val="sans-serif"/>
        <color rgb="FF1155CC"/>
        <sz val="12.0"/>
        <u/>
      </rPr>
      <t>UBS (Lux) Equity SICAV - Global High Dividend (USD) (CHF hedged) QL-dist</t>
    </r>
    <r>
      <rPr>
        <rFont val="sans-serif"/>
        <sz val="12.0"/>
      </rPr>
      <t xml:space="preserve">
ISIN: LU2049075521</t>
    </r>
  </si>
  <si>
    <t>High-yield stocks - Global</t>
  </si>
  <si>
    <t>Global
Sustainability
High Dividend</t>
  </si>
  <si>
    <r>
      <rPr>
        <rFont val="sans-serif"/>
        <color rgb="FF1155CC"/>
        <sz val="12.0"/>
        <u/>
      </rPr>
      <t>UBS (Lux) Equity SICAV - European Income Opportunity (EUR) (CHF hedged) Q-acc</t>
    </r>
    <r>
      <rPr>
        <rFont val="sans-serif"/>
        <sz val="12.0"/>
      </rPr>
      <t xml:space="preserve">
ISIN: LU2464499966</t>
    </r>
  </si>
  <si>
    <t>Stocks - Europe</t>
  </si>
  <si>
    <t>Europe
Sustainability</t>
  </si>
  <si>
    <r>
      <rPr>
        <rFont val="sans-serif"/>
        <color rgb="FF1155CC"/>
        <sz val="12.0"/>
        <u/>
      </rPr>
      <t>UBS (Lux) Equity SICAV - US Income (USD) (CHF hedged) QL-acc</t>
    </r>
    <r>
      <rPr>
        <rFont val="sans-serif"/>
        <sz val="12.0"/>
      </rPr>
      <t xml:space="preserve">
ISIN: LU2049085249</t>
    </r>
  </si>
  <si>
    <t>Focus US Income</t>
  </si>
  <si>
    <t>US
Sustainability</t>
  </si>
  <si>
    <r>
      <rPr>
        <rFont val="sans-serif"/>
        <color rgb="FF1155CC"/>
        <sz val="12.0"/>
        <u/>
      </rPr>
      <t>UBS ETF (CH) - SMI®</t>
    </r>
    <r>
      <rPr>
        <rFont val="sans-serif"/>
        <sz val="12.0"/>
      </rPr>
      <t xml:space="preserve">
ISIN: CH1416135320</t>
    </r>
  </si>
  <si>
    <t>Switzerland - Large Cap ETF</t>
  </si>
  <si>
    <r>
      <rPr>
        <rFont val="sans-serif"/>
        <color rgb="FF1155CC"/>
        <sz val="12.0"/>
        <u/>
      </rPr>
      <t>UBS Core - SPI® ETF</t>
    </r>
    <r>
      <rPr>
        <rFont val="sans-serif"/>
        <sz val="12.0"/>
      </rPr>
      <t xml:space="preserve">
ISIN: CH1416135338</t>
    </r>
  </si>
  <si>
    <t>Switzerland Total Market ETF</t>
  </si>
  <si>
    <r>
      <rPr>
        <rFont val="sans-serif"/>
        <color rgb="FF1155CC"/>
        <sz val="12.0"/>
        <u/>
      </rPr>
      <t>UBS Core S&amp;P 500 UCITS ETF</t>
    </r>
    <r>
      <rPr>
        <rFont val="sans-serif"/>
        <sz val="12.0"/>
      </rPr>
      <t xml:space="preserve">
ISIN: IE00BD34DB16</t>
    </r>
  </si>
  <si>
    <t>US Large Cap ETF</t>
  </si>
  <si>
    <t>US</t>
  </si>
  <si>
    <r>
      <rPr>
        <rFont val="sans-serif"/>
        <color rgb="FF1155CC"/>
        <sz val="12.0"/>
        <u/>
      </rPr>
      <t>UBS (Lux) Fund Solutions - MSCI Europe UCITS ETF (hedged to CHF) A-acc</t>
    </r>
    <r>
      <rPr>
        <rFont val="sans-serif"/>
        <sz val="12.0"/>
      </rPr>
      <t xml:space="preserve">
ISIN: LU1589327680</t>
    </r>
  </si>
  <si>
    <t>Europe Large Cap ETF</t>
  </si>
  <si>
    <r>
      <rPr>
        <rFont val="sans-serif"/>
        <color rgb="FF1155CC"/>
        <sz val="12.0"/>
        <u/>
      </rPr>
      <t>UBS ETF (CH) – MSCI Switzerland IMI Dividend Screened</t>
    </r>
    <r>
      <rPr>
        <rFont val="sans-serif"/>
        <sz val="12.0"/>
      </rPr>
      <t xml:space="preserve">
ISN: CH1416135353</t>
    </r>
  </si>
  <si>
    <t>Switzerland High Dividend ETF</t>
  </si>
  <si>
    <t>Switzerland
High Dividends</t>
  </si>
  <si>
    <r>
      <rPr>
        <rFont val="sans-serif"/>
        <color rgb="FF1155CC"/>
        <sz val="12.0"/>
        <u/>
      </rPr>
      <t>UBS MSCI World Socially Responsible UCITS ETF</t>
    </r>
    <r>
      <rPr>
        <rFont val="sans-serif"/>
        <sz val="12.0"/>
      </rPr>
      <t xml:space="preserve">
ISIN: IE00BK72HT65</t>
    </r>
  </si>
  <si>
    <t>Global Socially Responsible ETF</t>
  </si>
  <si>
    <r>
      <rPr>
        <rFont val="sans-serif"/>
        <color rgb="FF1155CC"/>
        <sz val="12.0"/>
        <u/>
      </rPr>
      <t>UBS ETF (CH) - SPI® ESG</t>
    </r>
    <r>
      <rPr>
        <rFont val="sans-serif"/>
        <sz val="12.0"/>
      </rPr>
      <t xml:space="preserve">
ISIN: CH1416135346</t>
    </r>
  </si>
  <si>
    <t>Switzerland Total Market ESG ETF</t>
  </si>
  <si>
    <t>Switzerland
Sustainability</t>
  </si>
  <si>
    <r>
      <rPr>
        <rFont val="sans-serif"/>
        <color rgb="FF1155CC"/>
        <sz val="12.0"/>
        <u/>
      </rPr>
      <t>UBS ETF (IE) S&amp;P 500 Scored &amp; Screened UCITS ETF</t>
    </r>
    <r>
      <rPr>
        <rFont val="sans-serif"/>
        <sz val="12.0"/>
      </rPr>
      <t xml:space="preserve">
ISN: IE00BHXMHN35</t>
    </r>
  </si>
  <si>
    <t>US Scored &amp; Screened Large Cap ETF</t>
  </si>
  <si>
    <r>
      <rPr>
        <rFont val="sans-serif"/>
        <color rgb="FF1155CC"/>
        <sz val="12.0"/>
        <u/>
      </rPr>
      <t>UBS Core MSCI World UCITS ETF</t>
    </r>
    <r>
      <rPr>
        <rFont val="sans-serif"/>
        <sz val="12.0"/>
      </rPr>
      <t xml:space="preserve">
ISIN: IE000N6LBS91</t>
    </r>
  </si>
  <si>
    <t>Global Large Cap ETF</t>
  </si>
  <si>
    <t>SGMS</t>
  </si>
  <si>
    <t>PK</t>
  </si>
  <si>
    <t>MTZ</t>
  </si>
  <si>
    <t>DFS</t>
  </si>
  <si>
    <t>UAA</t>
  </si>
  <si>
    <t>OSK</t>
  </si>
  <si>
    <t>EVR</t>
  </si>
  <si>
    <t>DVN</t>
  </si>
  <si>
    <t>DKS</t>
  </si>
  <si>
    <t>LSI</t>
  </si>
  <si>
    <t>PXD</t>
  </si>
  <si>
    <t>AA</t>
  </si>
  <si>
    <t>CMA</t>
  </si>
  <si>
    <t>WTFC</t>
  </si>
  <si>
    <t>Received</t>
  </si>
  <si>
    <t>Stock value</t>
  </si>
  <si>
    <t>Total invested - Curre Stock</t>
  </si>
  <si>
    <t>Outflow</t>
  </si>
  <si>
    <t>Months</t>
  </si>
  <si>
    <t>Yearly return</t>
  </si>
  <si>
    <t>Abs return</t>
  </si>
  <si>
    <t>Amt</t>
  </si>
  <si>
    <t>Current %</t>
  </si>
  <si>
    <t>HES</t>
  </si>
  <si>
    <t>CAH</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</si>
</sst>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dd/mm/yyyy"/>
    <numFmt numFmtId="166" formatCode="d/m/yyyy"/>
    <numFmt numFmtId="167" formatCode="d/m"/>
    <numFmt numFmtId="168" formatCode="0.0%"/>
    <numFmt numFmtId="169" formatCode="#,##0.00%"/>
    <numFmt numFmtId="170" formatCode="[$€]#,##0"/>
    <numFmt numFmtId="171" formatCode="[$$]#,##0"/>
    <numFmt numFmtId="172" formatCode="&quot;$&quot;#,##0"/>
    <numFmt numFmtId="173" formatCode="0.0"/>
  </numFmts>
  <fonts count="29">
    <font>
      <sz val="10.0"/>
      <color rgb="FF000000"/>
      <name val="Arial"/>
      <scheme val="minor"/>
    </font>
    <font>
      <b/>
      <sz val="10.0"/>
      <color rgb="FF000000"/>
      <name val="Arial"/>
    </font>
    <font>
      <sz val="10.0"/>
      <color rgb="FF000000"/>
      <name val="Arial"/>
    </font>
    <font>
      <color theme="1"/>
      <name val="Arial"/>
      <scheme val="minor"/>
    </font>
    <font>
      <b/>
      <color theme="1"/>
      <name val="Arial"/>
      <scheme val="minor"/>
    </font>
    <font>
      <color rgb="FFFF0000"/>
      <name val="Arial"/>
      <scheme val="minor"/>
    </font>
    <font>
      <b/>
      <color rgb="FF980000"/>
      <name val="Arial"/>
      <scheme val="minor"/>
    </font>
    <font>
      <color rgb="FF980000"/>
      <name val="Arial"/>
      <scheme val="minor"/>
    </font>
    <font>
      <color rgb="FF38761D"/>
      <name val="Arial"/>
      <scheme val="minor"/>
    </font>
    <font>
      <color rgb="FFFF9900"/>
      <name val="Arial"/>
      <scheme val="minor"/>
    </font>
    <font>
      <color rgb="FF000000"/>
      <name val="Arial"/>
      <scheme val="minor"/>
    </font>
    <font>
      <b/>
      <color rgb="FF000000"/>
      <name val="Arial"/>
      <scheme val="minor"/>
    </font>
    <font>
      <color rgb="FF999999"/>
      <name val="Arial"/>
      <scheme val="minor"/>
    </font>
    <font>
      <b/>
      <color rgb="FF999999"/>
      <name val="Arial"/>
      <scheme val="minor"/>
    </font>
    <font>
      <sz val="10.0"/>
      <color rgb="FF999999"/>
      <name val="Arial"/>
    </font>
    <font>
      <color rgb="FFB7B7B7"/>
      <name val="Arial"/>
      <scheme val="minor"/>
    </font>
    <font>
      <b/>
      <color rgb="FFB7B7B7"/>
      <name val="Arial"/>
      <scheme val="minor"/>
    </font>
    <font>
      <sz val="10.0"/>
      <color rgb="FFB7B7B7"/>
      <name val="Arial"/>
    </font>
    <font>
      <i/>
      <color theme="1"/>
      <name val="Arial"/>
      <scheme val="minor"/>
    </font>
    <font>
      <color rgb="FFFFFFFF"/>
      <name val="Arial"/>
      <scheme val="minor"/>
    </font>
    <font>
      <color theme="1"/>
      <name val="Arial"/>
    </font>
    <font>
      <color theme="0"/>
      <name val="Arial"/>
      <scheme val="minor"/>
    </font>
    <font>
      <color rgb="FF6AA84F"/>
      <name val="Arial"/>
      <scheme val="minor"/>
    </font>
    <font>
      <u/>
      <color rgb="FF0000FF"/>
    </font>
    <font>
      <color rgb="FF1C1C1C"/>
      <name val="Inherit"/>
    </font>
    <font>
      <sz val="12.0"/>
      <color rgb="FF1C1C1C"/>
      <name val="Sans-serif"/>
    </font>
    <font>
      <u/>
      <sz val="12.0"/>
      <color rgb="FF0000FF"/>
      <name val="Sans-serif"/>
    </font>
    <font>
      <u/>
      <sz val="12.0"/>
      <color rgb="FF0000FF"/>
      <name val="Sans-serif"/>
    </font>
    <font>
      <u/>
      <sz val="12.0"/>
      <color rgb="FF0000FF"/>
      <name val="Sans-serif"/>
    </font>
  </fonts>
  <fills count="20">
    <fill>
      <patternFill patternType="none"/>
    </fill>
    <fill>
      <patternFill patternType="lightGray"/>
    </fill>
    <fill>
      <patternFill patternType="solid">
        <fgColor rgb="FFFFFF9E"/>
        <bgColor rgb="FFFFFF9E"/>
      </patternFill>
    </fill>
    <fill>
      <patternFill patternType="solid">
        <fgColor rgb="FF9EFF9E"/>
        <bgColor rgb="FF9EFF9E"/>
      </patternFill>
    </fill>
    <fill>
      <patternFill patternType="solid">
        <fgColor rgb="FFD9D9D9"/>
        <bgColor rgb="FFD9D9D9"/>
      </patternFill>
    </fill>
    <fill>
      <patternFill patternType="solid">
        <fgColor rgb="FFB5B5B5"/>
        <bgColor rgb="FFB5B5B5"/>
      </patternFill>
    </fill>
    <fill>
      <patternFill patternType="solid">
        <fgColor theme="0"/>
        <bgColor theme="0"/>
      </patternFill>
    </fill>
    <fill>
      <patternFill patternType="solid">
        <fgColor rgb="FF00FF00"/>
        <bgColor rgb="FF00FF00"/>
      </patternFill>
    </fill>
    <fill>
      <patternFill patternType="solid">
        <fgColor rgb="FFEFEFEF"/>
        <bgColor rgb="FFEFEFEF"/>
      </patternFill>
    </fill>
    <fill>
      <patternFill patternType="solid">
        <fgColor rgb="FFCCCCCC"/>
        <bgColor rgb="FFCCCCCC"/>
      </patternFill>
    </fill>
    <fill>
      <patternFill patternType="solid">
        <fgColor rgb="FFB6D7A8"/>
        <bgColor rgb="FFB6D7A8"/>
      </patternFill>
    </fill>
    <fill>
      <patternFill patternType="solid">
        <fgColor rgb="FFF3F3F3"/>
        <bgColor rgb="FFF3F3F3"/>
      </patternFill>
    </fill>
    <fill>
      <patternFill patternType="solid">
        <fgColor rgb="FFB7B7B7"/>
        <bgColor rgb="FFB7B7B7"/>
      </patternFill>
    </fill>
    <fill>
      <patternFill patternType="solid">
        <fgColor rgb="FFE6B8AF"/>
        <bgColor rgb="FFE6B8AF"/>
      </patternFill>
    </fill>
    <fill>
      <patternFill patternType="solid">
        <fgColor rgb="FFFFE599"/>
        <bgColor rgb="FFFFE599"/>
      </patternFill>
    </fill>
    <fill>
      <patternFill patternType="solid">
        <fgColor rgb="FFFFFF00"/>
        <bgColor rgb="FFFFFF00"/>
      </patternFill>
    </fill>
    <fill>
      <patternFill patternType="solid">
        <fgColor rgb="FFFF0000"/>
        <bgColor rgb="FFFF0000"/>
      </patternFill>
    </fill>
    <fill>
      <patternFill patternType="solid">
        <fgColor rgb="FFF4CCCC"/>
        <bgColor rgb="FFF4CCCC"/>
      </patternFill>
    </fill>
    <fill>
      <patternFill patternType="solid">
        <fgColor rgb="FFEA9999"/>
        <bgColor rgb="FFEA9999"/>
      </patternFill>
    </fill>
    <fill>
      <patternFill patternType="solid">
        <fgColor rgb="FFFFFFFF"/>
        <bgColor rgb="FFFFFFFF"/>
      </patternFill>
    </fill>
  </fills>
  <borders count="3">
    <border/>
    <border>
      <left/>
      <right/>
      <top/>
      <bottom/>
    </border>
    <border>
      <bottom style="thin">
        <color rgb="FFCCCABC"/>
      </bottom>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readingOrder="0"/>
    </xf>
    <xf borderId="1" fillId="3" fontId="1" numFmtId="0" xfId="0" applyAlignment="1" applyBorder="1" applyFill="1" applyFont="1">
      <alignment horizontal="center"/>
    </xf>
    <xf borderId="1" fillId="3" fontId="1" numFmtId="0" xfId="0" applyAlignment="1" applyBorder="1" applyFont="1">
      <alignment horizontal="center" readingOrder="0"/>
    </xf>
    <xf borderId="1" fillId="4" fontId="1" numFmtId="0" xfId="0" applyAlignment="1" applyBorder="1" applyFill="1" applyFont="1">
      <alignment horizontal="center"/>
    </xf>
    <xf borderId="1" fillId="4" fontId="1" numFmtId="0" xfId="0" applyAlignment="1" applyBorder="1" applyFont="1">
      <alignment horizontal="center" readingOrder="0"/>
    </xf>
    <xf borderId="0" fillId="0" fontId="2" numFmtId="164" xfId="0" applyFont="1" applyNumberFormat="1"/>
    <xf borderId="0" fillId="0" fontId="3" numFmtId="0" xfId="0" applyFont="1"/>
    <xf borderId="0" fillId="0" fontId="2" numFmtId="2" xfId="0" applyFont="1" applyNumberFormat="1"/>
    <xf borderId="0" fillId="0" fontId="2" numFmtId="4" xfId="0" applyFont="1" applyNumberFormat="1"/>
    <xf borderId="0" fillId="0" fontId="1" numFmtId="4" xfId="0" applyFont="1" applyNumberFormat="1"/>
    <xf borderId="0" fillId="0" fontId="1" numFmtId="3" xfId="0" applyFont="1" applyNumberFormat="1"/>
    <xf borderId="0" fillId="0" fontId="3" numFmtId="2" xfId="0" applyFont="1" applyNumberFormat="1"/>
    <xf borderId="0" fillId="0" fontId="3" numFmtId="4" xfId="0" applyFont="1" applyNumberFormat="1"/>
    <xf borderId="0" fillId="0" fontId="3" numFmtId="165" xfId="0" applyAlignment="1" applyFont="1" applyNumberFormat="1">
      <alignment readingOrder="0"/>
    </xf>
    <xf borderId="0" fillId="0" fontId="3" numFmtId="0" xfId="0" applyAlignment="1" applyFont="1">
      <alignment readingOrder="0"/>
    </xf>
    <xf borderId="0" fillId="0" fontId="3" numFmtId="4" xfId="0" applyAlignment="1" applyFont="1" applyNumberFormat="1">
      <alignment readingOrder="0"/>
    </xf>
    <xf borderId="0" fillId="0" fontId="3" numFmtId="3" xfId="0" applyFont="1" applyNumberFormat="1"/>
    <xf borderId="0" fillId="0" fontId="3" numFmtId="2" xfId="0" applyAlignment="1" applyFont="1" applyNumberFormat="1">
      <alignment readingOrder="0"/>
    </xf>
    <xf borderId="0" fillId="0" fontId="3" numFmtId="166" xfId="0" applyAlignment="1" applyFont="1" applyNumberFormat="1">
      <alignment readingOrder="0"/>
    </xf>
    <xf borderId="0" fillId="0" fontId="3" numFmtId="167" xfId="0" applyAlignment="1" applyFont="1" applyNumberFormat="1">
      <alignment readingOrder="0"/>
    </xf>
    <xf borderId="0" fillId="0" fontId="4" numFmtId="0" xfId="0" applyAlignment="1" applyFont="1">
      <alignment readingOrder="0"/>
    </xf>
    <xf borderId="1" fillId="5" fontId="1" numFmtId="0" xfId="0" applyBorder="1" applyFill="1" applyFont="1"/>
    <xf borderId="0" fillId="0" fontId="4" numFmtId="0" xfId="0" applyAlignment="1" applyFont="1">
      <alignment horizontal="center" readingOrder="0"/>
    </xf>
    <xf borderId="0" fillId="0" fontId="1" numFmtId="0" xfId="0" applyFont="1"/>
    <xf borderId="0" fillId="0" fontId="2" numFmtId="10" xfId="0" applyFont="1" applyNumberFormat="1"/>
    <xf borderId="0" fillId="0" fontId="2" numFmtId="1" xfId="0" applyFont="1" applyNumberFormat="1"/>
    <xf borderId="0" fillId="0" fontId="1" numFmtId="1" xfId="0" applyFont="1" applyNumberFormat="1"/>
    <xf borderId="0" fillId="0" fontId="2" numFmtId="168" xfId="0" applyFont="1" applyNumberFormat="1"/>
    <xf borderId="0" fillId="0" fontId="2" numFmtId="168" xfId="0" applyAlignment="1" applyFont="1" applyNumberFormat="1">
      <alignment readingOrder="0"/>
    </xf>
    <xf borderId="0" fillId="0" fontId="2" numFmtId="9" xfId="0" applyAlignment="1" applyFont="1" applyNumberFormat="1">
      <alignment readingOrder="0"/>
    </xf>
    <xf borderId="0" fillId="0" fontId="2" numFmtId="9" xfId="0" applyFont="1" applyNumberFormat="1"/>
    <xf borderId="0" fillId="0" fontId="2" numFmtId="1" xfId="0" applyAlignment="1" applyFont="1" applyNumberFormat="1">
      <alignment readingOrder="0"/>
    </xf>
    <xf borderId="0" fillId="0" fontId="3" numFmtId="1" xfId="0" applyFont="1" applyNumberFormat="1"/>
    <xf borderId="0" fillId="0" fontId="2" numFmtId="169" xfId="0" applyFont="1" applyNumberFormat="1"/>
    <xf borderId="0" fillId="0" fontId="3" numFmtId="169" xfId="0" applyFont="1" applyNumberFormat="1"/>
    <xf borderId="0" fillId="2" fontId="4" numFmtId="0" xfId="0" applyAlignment="1" applyFont="1">
      <alignment horizontal="center" readingOrder="0"/>
    </xf>
    <xf borderId="0" fillId="3" fontId="4" numFmtId="0" xfId="0" applyAlignment="1" applyFont="1">
      <alignment horizontal="center" readingOrder="0"/>
    </xf>
    <xf borderId="0" fillId="6" fontId="4" numFmtId="3" xfId="0" applyAlignment="1" applyFill="1" applyFont="1" applyNumberFormat="1">
      <alignment horizontal="center" readingOrder="0"/>
    </xf>
    <xf borderId="0" fillId="7" fontId="4" numFmtId="3" xfId="0" applyAlignment="1" applyFill="1" applyFont="1" applyNumberFormat="1">
      <alignment horizontal="center" readingOrder="0"/>
    </xf>
    <xf borderId="0" fillId="0" fontId="4" numFmtId="0" xfId="0" applyFont="1"/>
    <xf borderId="0" fillId="0" fontId="4" numFmtId="3" xfId="0" applyAlignment="1" applyFont="1" applyNumberFormat="1">
      <alignment readingOrder="0"/>
    </xf>
    <xf borderId="0" fillId="0" fontId="5" numFmtId="166" xfId="0" applyAlignment="1" applyFont="1" applyNumberFormat="1">
      <alignment readingOrder="0"/>
    </xf>
    <xf borderId="0" fillId="0" fontId="5" numFmtId="0" xfId="0" applyAlignment="1" applyFont="1">
      <alignment readingOrder="0"/>
    </xf>
    <xf borderId="0" fillId="0" fontId="5" numFmtId="0" xfId="0" applyFont="1"/>
    <xf borderId="0" fillId="0" fontId="5" numFmtId="2" xfId="0" applyFont="1" applyNumberFormat="1"/>
    <xf borderId="0" fillId="0" fontId="5" numFmtId="2" xfId="0" applyAlignment="1" applyFont="1" applyNumberFormat="1">
      <alignment readingOrder="0"/>
    </xf>
    <xf borderId="0" fillId="0" fontId="3" numFmtId="1" xfId="0" applyAlignment="1" applyFont="1" applyNumberFormat="1">
      <alignment readingOrder="0"/>
    </xf>
    <xf borderId="0" fillId="0" fontId="4" numFmtId="3" xfId="0" applyFont="1" applyNumberFormat="1"/>
    <xf borderId="0" fillId="0" fontId="4" numFmtId="0" xfId="0" applyAlignment="1" applyFont="1">
      <alignment horizontal="right" readingOrder="0"/>
    </xf>
    <xf borderId="0" fillId="0" fontId="4" numFmtId="168" xfId="0" applyFont="1" applyNumberFormat="1"/>
    <xf borderId="0" fillId="0" fontId="3" numFmtId="168" xfId="0" applyFont="1" applyNumberFormat="1"/>
    <xf borderId="0" fillId="0" fontId="3" numFmtId="168" xfId="0" applyAlignment="1" applyFont="1" applyNumberFormat="1">
      <alignment readingOrder="0"/>
    </xf>
    <xf borderId="0" fillId="8" fontId="4" numFmtId="0" xfId="0" applyAlignment="1" applyFill="1" applyFont="1">
      <alignment horizontal="center" readingOrder="0"/>
    </xf>
    <xf borderId="0" fillId="9" fontId="3" numFmtId="0" xfId="0" applyFill="1" applyFont="1"/>
    <xf borderId="0" fillId="9" fontId="4" numFmtId="0" xfId="0" applyAlignment="1" applyFont="1">
      <alignment horizontal="center" readingOrder="0"/>
    </xf>
    <xf borderId="0" fillId="9" fontId="6" numFmtId="0" xfId="0" applyAlignment="1" applyFont="1">
      <alignment horizontal="center" readingOrder="0"/>
    </xf>
    <xf borderId="0" fillId="0" fontId="7" numFmtId="1" xfId="0" applyAlignment="1" applyFont="1" applyNumberFormat="1">
      <alignment readingOrder="0"/>
    </xf>
    <xf borderId="0" fillId="0" fontId="4" numFmtId="1" xfId="0" applyFont="1" applyNumberFormat="1"/>
    <xf borderId="0" fillId="0" fontId="7" numFmtId="1" xfId="0" applyFont="1" applyNumberFormat="1"/>
    <xf borderId="0" fillId="0" fontId="3" numFmtId="9" xfId="0" applyFont="1" applyNumberFormat="1"/>
    <xf borderId="0" fillId="0" fontId="6" numFmtId="1" xfId="0" applyFont="1" applyNumberFormat="1"/>
    <xf borderId="0" fillId="0" fontId="7" numFmtId="0" xfId="0" applyFont="1"/>
    <xf borderId="0" fillId="10" fontId="4" numFmtId="1" xfId="0" applyFill="1" applyFont="1" applyNumberFormat="1"/>
    <xf borderId="0" fillId="0" fontId="8" numFmtId="0" xfId="0" applyAlignment="1" applyFont="1">
      <alignment readingOrder="0"/>
    </xf>
    <xf borderId="0" fillId="0" fontId="8" numFmtId="0" xfId="0" applyFont="1"/>
    <xf borderId="0" fillId="0" fontId="9" numFmtId="0" xfId="0" applyAlignment="1" applyFont="1">
      <alignment readingOrder="0"/>
    </xf>
    <xf borderId="0" fillId="0" fontId="3" numFmtId="165" xfId="0" applyAlignment="1" applyFont="1" applyNumberFormat="1">
      <alignment horizontal="right" readingOrder="0"/>
    </xf>
    <xf borderId="0" fillId="11" fontId="4" numFmtId="0" xfId="0" applyAlignment="1" applyFill="1" applyFont="1">
      <alignment readingOrder="0"/>
    </xf>
    <xf borderId="0" fillId="0" fontId="10" numFmtId="0" xfId="0" applyFont="1"/>
    <xf borderId="0" fillId="11" fontId="11" numFmtId="0" xfId="0" applyFont="1"/>
    <xf borderId="0" fillId="0" fontId="10" numFmtId="1" xfId="0" applyFont="1" applyNumberFormat="1"/>
    <xf borderId="0" fillId="0" fontId="10" numFmtId="166" xfId="0" applyAlignment="1" applyFont="1" applyNumberFormat="1">
      <alignment readingOrder="0"/>
    </xf>
    <xf borderId="0" fillId="0" fontId="10" numFmtId="0" xfId="0" applyAlignment="1" applyFont="1">
      <alignment readingOrder="0"/>
    </xf>
    <xf borderId="0" fillId="0" fontId="10" numFmtId="1" xfId="0" applyAlignment="1" applyFont="1" applyNumberFormat="1">
      <alignment readingOrder="0"/>
    </xf>
    <xf borderId="0" fillId="0" fontId="12" numFmtId="0" xfId="0" applyFont="1"/>
    <xf borderId="0" fillId="0" fontId="13" numFmtId="0" xfId="0" applyFont="1"/>
    <xf borderId="0" fillId="0" fontId="12" numFmtId="10" xfId="0" applyFont="1" applyNumberFormat="1"/>
    <xf borderId="0" fillId="0" fontId="14" numFmtId="164" xfId="0" applyFont="1" applyNumberFormat="1"/>
    <xf borderId="0" fillId="0" fontId="12" numFmtId="0" xfId="0" applyAlignment="1" applyFont="1">
      <alignment readingOrder="0"/>
    </xf>
    <xf borderId="0" fillId="0" fontId="12" numFmtId="165" xfId="0" applyAlignment="1" applyFont="1" applyNumberFormat="1">
      <alignment readingOrder="0"/>
    </xf>
    <xf borderId="0" fillId="0" fontId="15" numFmtId="0" xfId="0" applyFont="1"/>
    <xf borderId="0" fillId="0" fontId="12" numFmtId="166" xfId="0" applyAlignment="1" applyFont="1" applyNumberFormat="1">
      <alignment readingOrder="0"/>
    </xf>
    <xf borderId="0" fillId="0" fontId="12" numFmtId="168" xfId="0" applyFont="1" applyNumberFormat="1"/>
    <xf borderId="0" fillId="0" fontId="16" numFmtId="0" xfId="0" applyAlignment="1" applyFont="1">
      <alignment readingOrder="0"/>
    </xf>
    <xf borderId="0" fillId="0" fontId="15" numFmtId="166" xfId="0" applyAlignment="1" applyFont="1" applyNumberFormat="1">
      <alignment readingOrder="0"/>
    </xf>
    <xf borderId="0" fillId="0" fontId="15" numFmtId="0" xfId="0" applyAlignment="1" applyFont="1">
      <alignment readingOrder="0"/>
    </xf>
    <xf borderId="0" fillId="0" fontId="15" numFmtId="10" xfId="0" applyFont="1" applyNumberFormat="1"/>
    <xf borderId="0" fillId="0" fontId="15" numFmtId="165" xfId="0" applyAlignment="1" applyFont="1" applyNumberFormat="1">
      <alignment readingOrder="0"/>
    </xf>
    <xf borderId="0" fillId="0" fontId="16" numFmtId="0" xfId="0" applyFont="1"/>
    <xf borderId="0" fillId="0" fontId="13" numFmtId="0" xfId="0" applyAlignment="1" applyFont="1">
      <alignment readingOrder="0"/>
    </xf>
    <xf borderId="0" fillId="0" fontId="17" numFmtId="164" xfId="0" applyFont="1" applyNumberFormat="1"/>
    <xf borderId="0" fillId="0" fontId="15" numFmtId="2" xfId="0" applyFont="1" applyNumberFormat="1"/>
    <xf borderId="0" fillId="0" fontId="15" numFmtId="2" xfId="0" applyAlignment="1" applyFont="1" applyNumberFormat="1">
      <alignment readingOrder="0"/>
    </xf>
    <xf borderId="0" fillId="12" fontId="4" numFmtId="0" xfId="0" applyAlignment="1" applyFill="1" applyFont="1">
      <alignment horizontal="center" readingOrder="0" vertical="center"/>
    </xf>
    <xf borderId="0" fillId="12" fontId="4" numFmtId="0" xfId="0" applyAlignment="1" applyFont="1">
      <alignment horizontal="center" readingOrder="0" shrinkToFit="0" vertical="center" wrapText="1"/>
    </xf>
    <xf borderId="0" fillId="0" fontId="3" numFmtId="0" xfId="0" applyAlignment="1" applyFont="1">
      <alignment horizontal="center" readingOrder="0"/>
    </xf>
    <xf borderId="0" fillId="0" fontId="3" numFmtId="0" xfId="0" applyAlignment="1" applyFont="1">
      <alignment horizontal="right" readingOrder="0"/>
    </xf>
    <xf borderId="0" fillId="8" fontId="3" numFmtId="0" xfId="0" applyAlignment="1" applyFont="1">
      <alignment readingOrder="0"/>
    </xf>
    <xf borderId="0" fillId="11" fontId="3" numFmtId="0" xfId="0" applyFont="1"/>
    <xf borderId="0" fillId="11" fontId="3" numFmtId="0" xfId="0" applyAlignment="1" applyFont="1">
      <alignment readingOrder="0"/>
    </xf>
    <xf borderId="0" fillId="0" fontId="3" numFmtId="9" xfId="0" applyAlignment="1" applyFont="1" applyNumberFormat="1">
      <alignment readingOrder="0"/>
    </xf>
    <xf borderId="0" fillId="0" fontId="3" numFmtId="0" xfId="0" applyAlignment="1" applyFont="1">
      <alignment horizontal="center"/>
    </xf>
    <xf borderId="0" fillId="8" fontId="3" numFmtId="0" xfId="0" applyFont="1"/>
    <xf borderId="0" fillId="0" fontId="5" numFmtId="10" xfId="0" applyAlignment="1" applyFont="1" applyNumberFormat="1">
      <alignment readingOrder="0"/>
    </xf>
    <xf borderId="0" fillId="0" fontId="5" numFmtId="9" xfId="0" applyAlignment="1" applyFont="1" applyNumberFormat="1">
      <alignment readingOrder="0"/>
    </xf>
    <xf borderId="0" fillId="0" fontId="3" numFmtId="10" xfId="0" applyAlignment="1" applyFont="1" applyNumberFormat="1">
      <alignment readingOrder="0"/>
    </xf>
    <xf borderId="0" fillId="0" fontId="3" numFmtId="0" xfId="0" applyAlignment="1" applyFont="1">
      <alignment horizontal="right"/>
    </xf>
    <xf borderId="0" fillId="0" fontId="5" numFmtId="0" xfId="0" applyAlignment="1" applyFont="1">
      <alignment horizontal="right" readingOrder="0"/>
    </xf>
    <xf borderId="0" fillId="8" fontId="3" numFmtId="0" xfId="0" applyAlignment="1" applyFont="1">
      <alignment horizontal="right" readingOrder="0"/>
    </xf>
    <xf borderId="0" fillId="13" fontId="3" numFmtId="0" xfId="0" applyFill="1" applyFont="1"/>
    <xf borderId="0" fillId="0" fontId="18" numFmtId="165" xfId="0" applyAlignment="1" applyFont="1" applyNumberFormat="1">
      <alignment readingOrder="0"/>
    </xf>
    <xf borderId="0" fillId="0" fontId="18" numFmtId="0" xfId="0" applyAlignment="1" applyFont="1">
      <alignment horizontal="center"/>
    </xf>
    <xf borderId="0" fillId="0" fontId="18" numFmtId="0" xfId="0" applyAlignment="1" applyFont="1">
      <alignment horizontal="right"/>
    </xf>
    <xf borderId="0" fillId="0" fontId="18" numFmtId="0" xfId="0" applyAlignment="1" applyFont="1">
      <alignment readingOrder="0"/>
    </xf>
    <xf borderId="0" fillId="0" fontId="18" numFmtId="2" xfId="0" applyFont="1" applyNumberFormat="1"/>
    <xf borderId="0" fillId="0" fontId="18" numFmtId="0" xfId="0" applyFont="1"/>
    <xf borderId="0" fillId="11" fontId="18" numFmtId="2" xfId="0" applyFont="1" applyNumberFormat="1"/>
    <xf borderId="0" fillId="11" fontId="3" numFmtId="2" xfId="0" applyFont="1" applyNumberFormat="1"/>
    <xf borderId="0" fillId="0" fontId="3" numFmtId="10" xfId="0" applyFont="1" applyNumberFormat="1"/>
    <xf borderId="0" fillId="0" fontId="4"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wrapText="1"/>
    </xf>
    <xf borderId="0" fillId="0" fontId="4" numFmtId="1" xfId="0" applyAlignment="1" applyFont="1" applyNumberFormat="1">
      <alignment horizontal="center" readingOrder="0" vertical="center"/>
    </xf>
    <xf borderId="0" fillId="0" fontId="4" numFmtId="0" xfId="0" applyAlignment="1" applyFont="1">
      <alignment horizontal="center" readingOrder="0" shrinkToFit="0" vertical="center" wrapText="1"/>
    </xf>
    <xf borderId="0" fillId="14" fontId="4" numFmtId="0" xfId="0" applyAlignment="1" applyFill="1" applyFont="1">
      <alignment horizontal="center" readingOrder="0" vertical="center"/>
    </xf>
    <xf borderId="0" fillId="14" fontId="4" numFmtId="0" xfId="0" applyAlignment="1" applyFont="1">
      <alignment horizontal="center" readingOrder="0" shrinkToFit="0" vertical="center" wrapText="1"/>
    </xf>
    <xf borderId="0" fillId="10" fontId="4" numFmtId="0" xfId="0" applyAlignment="1" applyFont="1">
      <alignment horizontal="center" readingOrder="0" shrinkToFit="0" vertical="center" wrapText="1"/>
    </xf>
    <xf borderId="0" fillId="7" fontId="19" numFmtId="1" xfId="0" applyFont="1" applyNumberFormat="1"/>
    <xf borderId="0" fillId="11" fontId="19" numFmtId="0" xfId="0" applyFont="1"/>
    <xf borderId="0" fillId="0" fontId="19" numFmtId="0" xfId="0" applyFont="1"/>
    <xf borderId="0" fillId="15" fontId="19" numFmtId="1" xfId="0" applyFill="1" applyFont="1" applyNumberFormat="1"/>
    <xf borderId="0" fillId="0" fontId="3" numFmtId="165" xfId="0" applyAlignment="1" applyFont="1" applyNumberFormat="1">
      <alignment horizontal="center" readingOrder="0"/>
    </xf>
    <xf borderId="0" fillId="16" fontId="19" numFmtId="1" xfId="0" applyFill="1" applyFont="1" applyNumberFormat="1"/>
    <xf borderId="0" fillId="0" fontId="20" numFmtId="165" xfId="0" applyAlignment="1" applyFont="1" applyNumberFormat="1">
      <alignment horizontal="right" vertical="bottom"/>
    </xf>
    <xf borderId="0" fillId="0" fontId="20" numFmtId="0" xfId="0" applyAlignment="1" applyFont="1">
      <alignment horizontal="center" readingOrder="0" vertical="bottom"/>
    </xf>
    <xf borderId="0" fillId="0" fontId="20" numFmtId="168" xfId="0" applyAlignment="1" applyFont="1" applyNumberFormat="1">
      <alignment horizontal="right" vertical="bottom"/>
    </xf>
    <xf borderId="0" fillId="0" fontId="20" numFmtId="9" xfId="0" applyAlignment="1" applyFont="1" applyNumberFormat="1">
      <alignment horizontal="right" vertical="bottom"/>
    </xf>
    <xf borderId="0" fillId="0" fontId="20" numFmtId="0" xfId="0" applyAlignment="1" applyFont="1">
      <alignment horizontal="center" vertical="bottom"/>
    </xf>
    <xf borderId="0" fillId="0" fontId="20" numFmtId="0" xfId="0" applyAlignment="1" applyFont="1">
      <alignment horizontal="right" vertical="bottom"/>
    </xf>
    <xf borderId="0" fillId="0" fontId="20" numFmtId="0" xfId="0" applyAlignment="1" applyFont="1">
      <alignment readingOrder="0" vertical="bottom"/>
    </xf>
    <xf borderId="0" fillId="0" fontId="20" numFmtId="0" xfId="0" applyAlignment="1" applyFont="1">
      <alignment vertical="bottom"/>
    </xf>
    <xf borderId="0" fillId="17" fontId="3" numFmtId="1" xfId="0" applyFill="1" applyFont="1" applyNumberFormat="1"/>
    <xf borderId="0" fillId="0" fontId="4" numFmtId="0" xfId="0" applyAlignment="1" applyFont="1">
      <alignment horizontal="left" readingOrder="0"/>
    </xf>
    <xf borderId="0" fillId="7" fontId="10" numFmtId="1" xfId="0" applyFont="1" applyNumberFormat="1"/>
    <xf borderId="0" fillId="0" fontId="3" numFmtId="9" xfId="0" applyAlignment="1" applyFont="1" applyNumberFormat="1">
      <alignment horizontal="right"/>
    </xf>
    <xf borderId="0" fillId="9" fontId="4" numFmtId="0" xfId="0" applyFont="1"/>
    <xf borderId="0" fillId="9" fontId="4" numFmtId="10" xfId="0" applyFont="1" applyNumberFormat="1"/>
    <xf borderId="0" fillId="16" fontId="10" numFmtId="1" xfId="0" applyFont="1" applyNumberFormat="1"/>
    <xf borderId="0" fillId="0" fontId="4" numFmtId="9" xfId="0" applyFont="1" applyNumberFormat="1"/>
    <xf borderId="0" fillId="0" fontId="11" numFmtId="1" xfId="0" applyFont="1" applyNumberFormat="1"/>
    <xf borderId="0" fillId="0" fontId="21" numFmtId="1" xfId="0" applyFont="1" applyNumberFormat="1"/>
    <xf borderId="0" fillId="0" fontId="3" numFmtId="168" xfId="0" applyAlignment="1" applyFont="1" applyNumberFormat="1">
      <alignment horizontal="right" readingOrder="0"/>
    </xf>
    <xf borderId="0" fillId="0" fontId="3" numFmtId="3" xfId="0" applyAlignment="1" applyFont="1" applyNumberFormat="1">
      <alignment readingOrder="0"/>
    </xf>
    <xf borderId="0" fillId="0" fontId="3" numFmtId="0" xfId="0" applyAlignment="1" applyFont="1">
      <alignment horizontal="left" readingOrder="0"/>
    </xf>
    <xf borderId="0" fillId="17" fontId="10" numFmtId="1" xfId="0" applyFont="1" applyNumberFormat="1"/>
    <xf borderId="0" fillId="0" fontId="10" numFmtId="0" xfId="0" applyAlignment="1" applyFont="1">
      <alignment horizontal="center" readingOrder="0"/>
    </xf>
    <xf borderId="0" fillId="10" fontId="3" numFmtId="0" xfId="0" applyAlignment="1" applyFont="1">
      <alignment horizontal="center" readingOrder="0"/>
    </xf>
    <xf borderId="0" fillId="0" fontId="22" numFmtId="0" xfId="0" applyAlignment="1" applyFont="1">
      <alignment horizontal="center" readingOrder="0"/>
    </xf>
    <xf borderId="0" fillId="0" fontId="3" numFmtId="9" xfId="0" applyAlignment="1" applyFont="1" applyNumberFormat="1">
      <alignment horizontal="center" readingOrder="0"/>
    </xf>
    <xf borderId="0" fillId="10" fontId="22" numFmtId="0" xfId="0" applyAlignment="1" applyFont="1">
      <alignment horizontal="center" readingOrder="0"/>
    </xf>
    <xf borderId="0" fillId="0" fontId="5" numFmtId="0" xfId="0" applyAlignment="1" applyFont="1">
      <alignment horizontal="center" readingOrder="0"/>
    </xf>
    <xf borderId="0" fillId="0" fontId="9" numFmtId="0" xfId="0" applyAlignment="1" applyFont="1">
      <alignment horizontal="center" readingOrder="0"/>
    </xf>
    <xf borderId="0" fillId="0" fontId="3" numFmtId="166" xfId="0" applyAlignment="1" applyFont="1" applyNumberFormat="1">
      <alignment horizontal="center" readingOrder="0"/>
    </xf>
    <xf borderId="0" fillId="0" fontId="4" numFmtId="10" xfId="0" applyFont="1" applyNumberFormat="1"/>
    <xf borderId="0" fillId="0" fontId="3" numFmtId="0" xfId="0" applyAlignment="1" applyFont="1">
      <alignment horizontal="center" readingOrder="0" vertical="center"/>
    </xf>
    <xf borderId="0" fillId="15" fontId="4" numFmtId="0" xfId="0" applyAlignment="1" applyFont="1">
      <alignment readingOrder="0"/>
    </xf>
    <xf borderId="0" fillId="10" fontId="4" numFmtId="0" xfId="0" applyAlignment="1" applyFont="1">
      <alignment readingOrder="0"/>
    </xf>
    <xf borderId="0" fillId="14" fontId="4" numFmtId="0" xfId="0" applyAlignment="1" applyFont="1">
      <alignment readingOrder="0"/>
    </xf>
    <xf borderId="0" fillId="18" fontId="18" numFmtId="0" xfId="0" applyAlignment="1" applyFill="1" applyFont="1">
      <alignment readingOrder="0"/>
    </xf>
    <xf borderId="0" fillId="0" fontId="3"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vertical="top"/>
    </xf>
    <xf borderId="0" fillId="0" fontId="3" numFmtId="0" xfId="0" applyAlignment="1" applyFont="1">
      <alignment shrinkToFit="0" wrapText="1"/>
    </xf>
    <xf borderId="0" fillId="0" fontId="23" numFmtId="0" xfId="0" applyAlignment="1" applyFont="1">
      <alignment readingOrder="0" shrinkToFit="0" wrapText="1"/>
    </xf>
    <xf borderId="0" fillId="0" fontId="3" numFmtId="0" xfId="0" applyAlignment="1" applyFont="1">
      <alignment readingOrder="0" shrinkToFit="0" wrapText="1"/>
    </xf>
    <xf borderId="0" fillId="7" fontId="4" numFmtId="0" xfId="0" applyAlignment="1" applyFont="1">
      <alignment readingOrder="0"/>
    </xf>
    <xf borderId="0" fillId="7" fontId="4" numFmtId="0" xfId="0" applyAlignment="1" applyFont="1">
      <alignment horizontal="left" readingOrder="0"/>
    </xf>
    <xf borderId="0" fillId="15" fontId="4" numFmtId="0" xfId="0" applyAlignment="1" applyFont="1">
      <alignment horizontal="left" readingOrder="0"/>
    </xf>
    <xf borderId="0" fillId="7" fontId="3" numFmtId="0" xfId="0" applyAlignment="1" applyFont="1">
      <alignment readingOrder="0"/>
    </xf>
    <xf borderId="0" fillId="15" fontId="3" numFmtId="0" xfId="0" applyAlignment="1" applyFont="1">
      <alignment readingOrder="0"/>
    </xf>
    <xf borderId="0" fillId="15" fontId="3" numFmtId="0" xfId="0" applyFont="1"/>
    <xf borderId="0" fillId="7" fontId="3" numFmtId="0" xfId="0" applyFont="1"/>
    <xf borderId="0" fillId="16" fontId="3" numFmtId="0" xfId="0" applyFont="1"/>
    <xf borderId="0" fillId="0" fontId="3" numFmtId="170" xfId="0" applyAlignment="1" applyFont="1" applyNumberFormat="1">
      <alignment readingOrder="0"/>
    </xf>
    <xf borderId="0" fillId="0" fontId="3" numFmtId="171" xfId="0" applyFont="1" applyNumberFormat="1"/>
    <xf borderId="0" fillId="0" fontId="3" numFmtId="172" xfId="0" applyAlignment="1" applyFont="1" applyNumberFormat="1">
      <alignment readingOrder="0"/>
    </xf>
    <xf borderId="0" fillId="0" fontId="3" numFmtId="171" xfId="0" applyAlignment="1" applyFont="1" applyNumberFormat="1">
      <alignment readingOrder="0"/>
    </xf>
    <xf borderId="0" fillId="0" fontId="4" numFmtId="171" xfId="0" applyAlignment="1" applyFont="1" applyNumberFormat="1">
      <alignment readingOrder="0"/>
    </xf>
    <xf borderId="2" fillId="19" fontId="24" numFmtId="0" xfId="0" applyAlignment="1" applyBorder="1" applyFill="1" applyFont="1">
      <alignment readingOrder="0"/>
    </xf>
    <xf borderId="2" fillId="19" fontId="25" numFmtId="0" xfId="0" applyAlignment="1" applyBorder="1" applyFont="1">
      <alignment readingOrder="0"/>
    </xf>
    <xf borderId="2" fillId="15" fontId="26" numFmtId="0" xfId="0" applyAlignment="1" applyBorder="1" applyFont="1">
      <alignment readingOrder="0"/>
    </xf>
    <xf borderId="2" fillId="0" fontId="27" numFmtId="0" xfId="0" applyAlignment="1" applyBorder="1" applyFont="1">
      <alignment readingOrder="0"/>
    </xf>
    <xf borderId="2" fillId="19" fontId="25" numFmtId="0" xfId="0" applyAlignment="1" applyBorder="1" applyFont="1">
      <alignment horizontal="left" readingOrder="0"/>
    </xf>
    <xf borderId="2" fillId="15" fontId="28" numFmtId="0" xfId="0" applyAlignment="1" applyBorder="1" applyFont="1">
      <alignment readingOrder="0"/>
    </xf>
    <xf borderId="1" fillId="3" fontId="2" numFmtId="0" xfId="0" applyBorder="1" applyFont="1"/>
    <xf borderId="1" fillId="3" fontId="2" numFmtId="0" xfId="0" applyAlignment="1" applyBorder="1" applyFont="1">
      <alignment readingOrder="0"/>
    </xf>
    <xf borderId="1" fillId="2" fontId="2" numFmtId="0" xfId="0" applyBorder="1" applyFont="1"/>
    <xf borderId="1" fillId="2" fontId="2" numFmtId="0" xfId="0" applyAlignment="1" applyBorder="1" applyFont="1">
      <alignment horizontal="center" readingOrder="0"/>
    </xf>
    <xf borderId="0" fillId="0" fontId="2" numFmtId="173" xfId="0" applyFont="1" applyNumberFormat="1"/>
    <xf borderId="0" fillId="0" fontId="1" numFmtId="10" xfId="0" applyFont="1" applyNumberFormat="1"/>
    <xf borderId="0" fillId="0" fontId="12" numFmtId="1" xfId="0" applyFont="1" applyNumberFormat="1"/>
    <xf borderId="0" fillId="0" fontId="15" numFmtId="1" xfId="0" applyFont="1" applyNumberFormat="1"/>
    <xf borderId="0" fillId="0" fontId="12" numFmtId="1" xfId="0" applyAlignment="1" applyFont="1" applyNumberFormat="1">
      <alignment readingOrder="0"/>
    </xf>
    <xf borderId="0" fillId="0" fontId="15" numFmtId="1" xfId="0" applyAlignment="1" applyFont="1" applyNumberFormat="1">
      <alignment readingOrder="0"/>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barchart.com/options/open-interest-change/increas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www.ubs.com/ch/en/assetmanagement/funds/asset-class/lu2402148659-ubs-equity-sust-health-transformation-chf-hedged-q-acc-pd001.html" TargetMode="External"/><Relationship Id="rId22" Type="http://schemas.openxmlformats.org/officeDocument/2006/relationships/hyperlink" Target="https://www.ubs.com/ch/en/assetmanagement/funds/asset-class/lu2464499966-ubs-european-income-opportunity-sustainable-chf-hedged-q-acc-pd001.html" TargetMode="External"/><Relationship Id="rId21" Type="http://schemas.openxmlformats.org/officeDocument/2006/relationships/hyperlink" Target="https://www.ubs.com/ch/en/assetmanagement/funds/asset-class/lu2049075521-ubs-global-highdiv-sustainable-usd-chf-hedged-ql-dist-pd001.html" TargetMode="External"/><Relationship Id="rId24" Type="http://schemas.openxmlformats.org/officeDocument/2006/relationships/hyperlink" Target="https://www.ubs.com/ch/en/assetmanagement/funds/etf/ch1416135320-ubs-etf-ch-smi--pd001.html" TargetMode="External"/><Relationship Id="rId23" Type="http://schemas.openxmlformats.org/officeDocument/2006/relationships/hyperlink" Target="https://www.ubs.com/ch/en/assetmanagement/funds/asset-class/lu2049085249-ubs-us-income-sustainable-equity-fund-usd-chf-hedged-ql-acc-pd001.html" TargetMode="External"/><Relationship Id="rId1" Type="http://schemas.openxmlformats.org/officeDocument/2006/relationships/hyperlink" Target="https://www.ubs.com/ch/en/assetmanagement/funds/asset-class/lu1240799699-ubs-stgy-fd-fixed-income-sust-chf-q-acc-pd001.html" TargetMode="External"/><Relationship Id="rId2" Type="http://schemas.openxmlformats.org/officeDocument/2006/relationships/hyperlink" Target="https://www.ubs.com/ch/en/assetmanagement/funds/asset-class/lu1240800968-ubs-stgy-sicav-income-sust-chf-q-acc-pd001.html" TargetMode="External"/><Relationship Id="rId3" Type="http://schemas.openxmlformats.org/officeDocument/2006/relationships/hyperlink" Target="https://www.ubs.com/ch/en/assetmanagement/funds/asset-class/ch0560899525-ubs-mid-caps-switzerland-ql-pd001.html" TargetMode="External"/><Relationship Id="rId4" Type="http://schemas.openxmlformats.org/officeDocument/2006/relationships/hyperlink" Target="https://www.ubs.com/ch/en/assetmanagement/funds/asset-class/lu0941351768-ubs-stgy-fd-yield-sustainable-chf-q-acc-pd001.html" TargetMode="External"/><Relationship Id="rId9" Type="http://schemas.openxmlformats.org/officeDocument/2006/relationships/hyperlink" Target="https://www.ubs.com/ch/en/assetmanagement/funds/asset-class/ch1110134132-ubs-vitainvest-passive-50-si-q-pd001.html" TargetMode="External"/><Relationship Id="rId26" Type="http://schemas.openxmlformats.org/officeDocument/2006/relationships/hyperlink" Target="https://www.ubs.com/ch/en/assetmanagement/funds/etf/ie00bd34db16-ubs-etf-ie-s-p-500-ucits-etf-pd001.html" TargetMode="External"/><Relationship Id="rId25" Type="http://schemas.openxmlformats.org/officeDocument/2006/relationships/hyperlink" Target="https://www.ubs.com/ch/en/assetmanagement/funds/etf/ch1416135338-ubs-etf-ch-spi--pd001.html" TargetMode="External"/><Relationship Id="rId28" Type="http://schemas.openxmlformats.org/officeDocument/2006/relationships/hyperlink" Target="https://www.ubs.com/ch/en/assetmanagement/funds/etf/ch1416135353-ubs-msci-switzerland-imi-dividend-screened-etf-pd001.html" TargetMode="External"/><Relationship Id="rId27" Type="http://schemas.openxmlformats.org/officeDocument/2006/relationships/hyperlink" Target="https://www.ubs.com/ch/en/assetmanagement/funds/etf/ie00bd34db16-ubs-etf-ie-s-p-500-ucits-etf-pd001.html" TargetMode="External"/><Relationship Id="rId5" Type="http://schemas.openxmlformats.org/officeDocument/2006/relationships/hyperlink" Target="https://www.ubs.com/ch/en/assetmanagement/funds/asset-class/lu0941351099-ubs-stgy-fd-balanced-sust-chf-q-acc-pd001.html" TargetMode="External"/><Relationship Id="rId6" Type="http://schemas.openxmlformats.org/officeDocument/2006/relationships/hyperlink" Target="https://www.ubs.com/ch/en/assetmanagement/funds/asset-class/lu0941351412-ubs-stgy-fd-growth-sustainable-chf-q-acc-pd001.html" TargetMode="External"/><Relationship Id="rId29" Type="http://schemas.openxmlformats.org/officeDocument/2006/relationships/hyperlink" Target="https://www.ubs.com/ch/en/assetmanagement/funds/etf/ie00bk72ht65-ubs-etf-ie-msci-world-socially-responsible-ucits-etf-pd001.html" TargetMode="External"/><Relationship Id="rId7" Type="http://schemas.openxmlformats.org/officeDocument/2006/relationships/hyperlink" Target="https://www.ubs.com/ch/en/assetmanagement/funds/asset-class/lu1240799343-ubs-stgy-fd-equity-sustainable-chf-q-acc-pd001.html" TargetMode="External"/><Relationship Id="rId8" Type="http://schemas.openxmlformats.org/officeDocument/2006/relationships/hyperlink" Target="https://www.ubs.com/ch/en/assetmanagement/funds/asset-class/ch1110134124-ubs-vitainvest-passive-25-si-q-pd001.html" TargetMode="External"/><Relationship Id="rId31" Type="http://schemas.openxmlformats.org/officeDocument/2006/relationships/hyperlink" Target="https://www.ubs.com/ch/en/assetmanagement/funds/etf/ie00bhxmhn35-ubs-etf-ie-s-p-500-scored-screened-ucits-etf-pd001.html" TargetMode="External"/><Relationship Id="rId30" Type="http://schemas.openxmlformats.org/officeDocument/2006/relationships/hyperlink" Target="https://www.ubs.com/ch/en/assetmanagement/funds/etf/ch1416135346-ubs-etf-ch-spi-esg-pd001.html" TargetMode="External"/><Relationship Id="rId11" Type="http://schemas.openxmlformats.org/officeDocument/2006/relationships/hyperlink" Target="https://www.ubs.com/ch/en/assetmanagement/funds/asset-class/ch1110134157-ubs-vitainvest-passive-100-si-q-pd001.html" TargetMode="External"/><Relationship Id="rId33" Type="http://schemas.openxmlformats.org/officeDocument/2006/relationships/drawing" Target="../drawings/drawing11.xml"/><Relationship Id="rId10" Type="http://schemas.openxmlformats.org/officeDocument/2006/relationships/hyperlink" Target="https://www.ubs.com/ch/en/assetmanagement/funds/asset-class/ch1110134140-ubs-vitainvest-passive-75-si-q-pd001.html" TargetMode="External"/><Relationship Id="rId32" Type="http://schemas.openxmlformats.org/officeDocument/2006/relationships/hyperlink" Target="https://www.ubs.com/ch/en/assetmanagement/funds/etf/ie000n6lbs91-ubs-core-msci-world-ucits-etf-pd001.html" TargetMode="External"/><Relationship Id="rId13" Type="http://schemas.openxmlformats.org/officeDocument/2006/relationships/hyperlink" Target="https://www.ubs.com/ch/en/assetmanagement/funds/asset-class/ch0210193535-ubs-suisse-45-q-dist-pd001.html" TargetMode="External"/><Relationship Id="rId12" Type="http://schemas.openxmlformats.org/officeDocument/2006/relationships/hyperlink" Target="https://www.ubs.com/ch/en/assetmanagement/funds/asset-class/ch0210193519-ubs-suisse-25-q-dist-pd001.html" TargetMode="External"/><Relationship Id="rId15" Type="http://schemas.openxmlformats.org/officeDocument/2006/relationships/hyperlink" Target="https://www.ubs.com/ch/en/assetmanagement/funds/asset-class/lu1323611423-ubs-equity-long-term-themes-chf-hedged-q-acc-pd001.html" TargetMode="External"/><Relationship Id="rId14" Type="http://schemas.openxmlformats.org/officeDocument/2006/relationships/hyperlink" Target="https://www.ubs.com/ch/en/assetmanagement/funds/asset-class/ch0210193584-ubs-suisse-65-q-dist-pd001.html" TargetMode="External"/><Relationship Id="rId17" Type="http://schemas.openxmlformats.org/officeDocument/2006/relationships/hyperlink" Target="https://www.ubs.com/ch/en/assetmanagement/funds/asset-class/lu2408499411-ubs-active-climate-aware-chf-hedged-q-acc-pd001.html" TargetMode="External"/><Relationship Id="rId16" Type="http://schemas.openxmlformats.org/officeDocument/2006/relationships/hyperlink" Target="https://www.ubs.com/ch/en/assetmanagement/funds/asset-class/lu2054466995-ubs-digital-transformation-themes-chf-hedged-q-acc-pd001.html" TargetMode="External"/><Relationship Id="rId19" Type="http://schemas.openxmlformats.org/officeDocument/2006/relationships/hyperlink" Target="https://www.ubs.com/ch/en/assetmanagement/funds/asset-class/ch0500707168-ubs-swiss-high-dividend-ql-pd001.html" TargetMode="External"/><Relationship Id="rId18" Type="http://schemas.openxmlformats.org/officeDocument/2006/relationships/hyperlink" Target="https://www.ubs.com/ch/en/assetmanagement/funds/asset-class/ch0203277022-ubs-100-index-switzerland-q-pd001.html"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5"/>
    <col customWidth="1" min="2" max="7" width="6.25"/>
    <col customWidth="1" min="8" max="9" width="6.0"/>
    <col customWidth="1" min="10" max="10" width="5.63"/>
    <col customWidth="1" min="11" max="11" width="9.38"/>
    <col customWidth="1" min="12" max="12" width="7.5"/>
    <col customWidth="1" min="13" max="14" width="8.13"/>
    <col customWidth="1" min="15" max="15" width="7.5"/>
    <col customWidth="1" min="16" max="17" width="8.13"/>
    <col customWidth="1" min="18" max="19" width="6.63"/>
    <col customWidth="1" min="20" max="20" width="6.25"/>
    <col customWidth="1" min="21" max="21" width="8.13"/>
    <col customWidth="1" min="22" max="23" width="9.13"/>
    <col customWidth="1" min="24" max="24" width="8.13"/>
    <col customWidth="1" min="25" max="33" width="8.75"/>
  </cols>
  <sheetData>
    <row r="1" ht="12.75" customHeight="1">
      <c r="B1" s="1" t="s">
        <v>0</v>
      </c>
      <c r="C1" s="2" t="s">
        <v>1</v>
      </c>
      <c r="D1" s="1" t="s">
        <v>2</v>
      </c>
      <c r="E1" s="1" t="s">
        <v>3</v>
      </c>
      <c r="F1" s="1" t="s">
        <v>4</v>
      </c>
      <c r="G1" s="1" t="s">
        <v>5</v>
      </c>
      <c r="H1" s="2" t="s">
        <v>6</v>
      </c>
      <c r="I1" s="2" t="s">
        <v>7</v>
      </c>
      <c r="J1" s="2" t="s">
        <v>8</v>
      </c>
      <c r="K1" s="2" t="s">
        <v>9</v>
      </c>
      <c r="L1" s="3" t="s">
        <v>0</v>
      </c>
      <c r="M1" s="4" t="s">
        <v>1</v>
      </c>
      <c r="N1" s="3" t="s">
        <v>2</v>
      </c>
      <c r="O1" s="3" t="s">
        <v>3</v>
      </c>
      <c r="P1" s="3" t="s">
        <v>4</v>
      </c>
      <c r="Q1" s="3" t="s">
        <v>5</v>
      </c>
      <c r="R1" s="4" t="s">
        <v>6</v>
      </c>
      <c r="S1" s="4" t="s">
        <v>7</v>
      </c>
      <c r="T1" s="4" t="s">
        <v>8</v>
      </c>
      <c r="U1" s="3" t="s">
        <v>10</v>
      </c>
      <c r="V1" s="4" t="s">
        <v>11</v>
      </c>
      <c r="W1" s="5" t="s">
        <v>12</v>
      </c>
      <c r="X1" s="6" t="s">
        <v>13</v>
      </c>
      <c r="Y1" s="6" t="s">
        <v>14</v>
      </c>
    </row>
    <row r="2" ht="12.75" customHeight="1">
      <c r="A2" s="7">
        <v>43802.0</v>
      </c>
      <c r="B2" s="8">
        <v>20.0</v>
      </c>
      <c r="D2" s="8">
        <v>2.0</v>
      </c>
      <c r="E2" s="8">
        <v>5.0</v>
      </c>
      <c r="F2" s="8">
        <v>8.0</v>
      </c>
      <c r="G2" s="8">
        <v>10.0</v>
      </c>
      <c r="K2" s="8">
        <v>4000.0</v>
      </c>
      <c r="L2" s="9">
        <v>15.28</v>
      </c>
      <c r="M2" s="9"/>
      <c r="N2" s="9">
        <v>139.3</v>
      </c>
      <c r="O2" s="9">
        <v>112.09</v>
      </c>
      <c r="P2" s="9">
        <v>141.5</v>
      </c>
      <c r="Q2" s="9">
        <v>159.0</v>
      </c>
      <c r="R2" s="9"/>
      <c r="S2" s="9"/>
      <c r="T2" s="9"/>
      <c r="U2" s="10">
        <v>1.30038</v>
      </c>
      <c r="V2" s="11"/>
      <c r="W2" s="12">
        <f t="shared" ref="W2:W19" si="1">SUMPRODUCT(B2:G2,L2:Q2)</f>
        <v>3866.65</v>
      </c>
      <c r="X2" s="12">
        <f>K2*U2</f>
        <v>5201.52</v>
      </c>
      <c r="Y2" s="12">
        <f t="shared" ref="Y2:Y48" si="2">X2-W2</f>
        <v>1334.87</v>
      </c>
    </row>
    <row r="3" ht="12.75" customHeight="1">
      <c r="A3" s="7">
        <v>43471.0</v>
      </c>
      <c r="B3" s="8">
        <v>18.0</v>
      </c>
      <c r="D3" s="8">
        <v>2.0</v>
      </c>
      <c r="E3" s="8">
        <v>6.0</v>
      </c>
      <c r="F3" s="8">
        <v>9.0</v>
      </c>
      <c r="G3" s="8">
        <v>10.0</v>
      </c>
      <c r="K3" s="8">
        <v>2200.0</v>
      </c>
      <c r="L3" s="9">
        <v>16.245</v>
      </c>
      <c r="M3" s="9"/>
      <c r="N3" s="9">
        <v>147.365</v>
      </c>
      <c r="O3" s="9">
        <v>111.415</v>
      </c>
      <c r="P3" s="9">
        <v>138.748</v>
      </c>
      <c r="Q3" s="9">
        <v>164.19999999999996</v>
      </c>
      <c r="R3" s="9"/>
      <c r="S3" s="9"/>
      <c r="T3" s="9"/>
      <c r="U3" s="10">
        <v>1.31572</v>
      </c>
      <c r="V3" s="11"/>
      <c r="W3" s="12">
        <f t="shared" si="1"/>
        <v>4146.362</v>
      </c>
      <c r="X3" s="12">
        <f t="shared" ref="X3:X18" si="3">K3*U3+Y2</f>
        <v>4229.454</v>
      </c>
      <c r="Y3" s="12">
        <f t="shared" si="2"/>
        <v>83.092</v>
      </c>
    </row>
    <row r="4" ht="12.75" customHeight="1">
      <c r="A4" s="7">
        <v>43865.0</v>
      </c>
      <c r="B4" s="8">
        <v>0.0</v>
      </c>
      <c r="D4" s="8">
        <v>2.0</v>
      </c>
      <c r="E4" s="8">
        <v>6.0</v>
      </c>
      <c r="F4" s="8">
        <v>9.0</v>
      </c>
      <c r="G4" s="8">
        <v>11.0</v>
      </c>
      <c r="K4" s="8">
        <v>4000.0</v>
      </c>
      <c r="L4" s="9"/>
      <c r="M4" s="9"/>
      <c r="N4" s="9">
        <v>146.115</v>
      </c>
      <c r="O4" s="9">
        <v>113.055</v>
      </c>
      <c r="P4" s="9">
        <v>143.325</v>
      </c>
      <c r="Q4" s="9">
        <v>167.6</v>
      </c>
      <c r="R4" s="9"/>
      <c r="S4" s="9"/>
      <c r="T4" s="9"/>
      <c r="U4" s="10">
        <v>1.3012</v>
      </c>
      <c r="V4" s="11"/>
      <c r="W4" s="12">
        <f t="shared" si="1"/>
        <v>4104.085</v>
      </c>
      <c r="X4" s="12">
        <f t="shared" si="3"/>
        <v>5287.892</v>
      </c>
      <c r="Y4" s="12">
        <f t="shared" si="2"/>
        <v>1183.807</v>
      </c>
    </row>
    <row r="5" ht="12.75" customHeight="1">
      <c r="A5" s="7">
        <v>43895.0</v>
      </c>
      <c r="B5" s="8">
        <v>0.0</v>
      </c>
      <c r="D5" s="8">
        <v>2.0</v>
      </c>
      <c r="E5" s="8">
        <v>6.0</v>
      </c>
      <c r="F5" s="8">
        <v>9.0</v>
      </c>
      <c r="G5" s="8">
        <v>11.0</v>
      </c>
      <c r="K5" s="8">
        <v>4000.0</v>
      </c>
      <c r="L5" s="9"/>
      <c r="M5" s="9"/>
      <c r="N5" s="9">
        <v>157.165</v>
      </c>
      <c r="O5" s="9">
        <v>119.17</v>
      </c>
      <c r="P5" s="9">
        <v>157.675</v>
      </c>
      <c r="Q5" s="9">
        <v>152.97</v>
      </c>
      <c r="R5" s="9"/>
      <c r="S5" s="9"/>
      <c r="T5" s="9"/>
      <c r="U5" s="10">
        <v>1.2945000000000002</v>
      </c>
      <c r="V5" s="11"/>
      <c r="W5" s="12">
        <f t="shared" si="1"/>
        <v>4131.095</v>
      </c>
      <c r="X5" s="12">
        <f t="shared" si="3"/>
        <v>6361.807</v>
      </c>
      <c r="Y5" s="12">
        <f t="shared" si="2"/>
        <v>2230.712</v>
      </c>
    </row>
    <row r="6" ht="12.75" customHeight="1">
      <c r="A6" s="7">
        <v>43920.0</v>
      </c>
      <c r="B6" s="8">
        <f>26*3</f>
        <v>78</v>
      </c>
      <c r="D6" s="8">
        <v>2.0</v>
      </c>
      <c r="E6" s="8">
        <v>5.0</v>
      </c>
      <c r="F6" s="8">
        <v>7.0</v>
      </c>
      <c r="G6" s="8">
        <v>12.0</v>
      </c>
      <c r="K6" s="8">
        <v>6000.0</v>
      </c>
      <c r="L6" s="9">
        <f>(11.325*73+11.335*5)/78</f>
        <v>11.32564103</v>
      </c>
      <c r="M6" s="9"/>
      <c r="N6" s="9">
        <v>151.865</v>
      </c>
      <c r="O6" s="9">
        <v>121.255</v>
      </c>
      <c r="P6" s="9">
        <v>166.31</v>
      </c>
      <c r="Q6" s="9">
        <v>130.67</v>
      </c>
      <c r="R6" s="9"/>
      <c r="S6" s="9"/>
      <c r="T6" s="9"/>
      <c r="U6" s="10">
        <v>1.24027</v>
      </c>
      <c r="V6" s="11"/>
      <c r="W6" s="12">
        <f t="shared" si="1"/>
        <v>4525.615</v>
      </c>
      <c r="X6" s="12">
        <f t="shared" si="3"/>
        <v>9672.332</v>
      </c>
      <c r="Y6" s="12">
        <f t="shared" si="2"/>
        <v>5146.717</v>
      </c>
    </row>
    <row r="7" ht="12.75" customHeight="1">
      <c r="A7" s="7">
        <v>43920.0</v>
      </c>
      <c r="G7" s="8">
        <v>30.0</v>
      </c>
      <c r="L7" s="9"/>
      <c r="M7" s="9"/>
      <c r="N7" s="9"/>
      <c r="O7" s="9"/>
      <c r="P7" s="9"/>
      <c r="Q7" s="9">
        <v>130.67</v>
      </c>
      <c r="R7" s="9"/>
      <c r="S7" s="9"/>
      <c r="T7" s="9"/>
      <c r="U7" s="10">
        <v>1.24027</v>
      </c>
      <c r="V7" s="11"/>
      <c r="W7" s="12">
        <f t="shared" si="1"/>
        <v>3920.1</v>
      </c>
      <c r="X7" s="12">
        <f t="shared" si="3"/>
        <v>5146.717</v>
      </c>
      <c r="Y7" s="12">
        <f t="shared" si="2"/>
        <v>1226.617</v>
      </c>
    </row>
    <row r="8" ht="12.75" customHeight="1">
      <c r="A8" s="7">
        <v>43952.0</v>
      </c>
      <c r="B8" s="8">
        <v>28.0</v>
      </c>
      <c r="D8" s="8">
        <v>2.0</v>
      </c>
      <c r="E8" s="8">
        <v>5.0</v>
      </c>
      <c r="F8" s="8">
        <v>7.0</v>
      </c>
      <c r="G8" s="8">
        <v>11.0</v>
      </c>
      <c r="K8" s="8">
        <v>4000.0</v>
      </c>
      <c r="L8" s="9">
        <v>10.765</v>
      </c>
      <c r="M8" s="9"/>
      <c r="N8" s="9">
        <v>159.63</v>
      </c>
      <c r="O8" s="9">
        <v>121.755</v>
      </c>
      <c r="P8" s="9">
        <v>167.44</v>
      </c>
      <c r="Q8" s="9">
        <v>142.3531818</v>
      </c>
      <c r="R8" s="9"/>
      <c r="S8" s="9"/>
      <c r="T8" s="9"/>
      <c r="U8" s="10">
        <v>1.25275</v>
      </c>
      <c r="V8" s="11"/>
      <c r="W8" s="12">
        <f t="shared" si="1"/>
        <v>3967.42</v>
      </c>
      <c r="X8" s="12">
        <f t="shared" si="3"/>
        <v>6237.617</v>
      </c>
      <c r="Y8" s="12">
        <f t="shared" si="2"/>
        <v>2270.197</v>
      </c>
    </row>
    <row r="9" ht="12.75" customHeight="1">
      <c r="A9" s="7">
        <v>43983.0</v>
      </c>
      <c r="B9" s="8">
        <v>25.0</v>
      </c>
      <c r="D9" s="8">
        <v>2.0</v>
      </c>
      <c r="E9" s="8">
        <v>5.0</v>
      </c>
      <c r="F9" s="8">
        <v>7.0</v>
      </c>
      <c r="G9" s="8">
        <v>10.0</v>
      </c>
      <c r="K9" s="8">
        <v>4000.0</v>
      </c>
      <c r="L9" s="9">
        <v>11.725</v>
      </c>
      <c r="M9" s="9"/>
      <c r="N9" s="9">
        <v>162.96</v>
      </c>
      <c r="O9" s="9">
        <v>121.615</v>
      </c>
      <c r="P9" s="9">
        <v>162.095</v>
      </c>
      <c r="Q9" s="9">
        <v>153.57499999999996</v>
      </c>
      <c r="R9" s="9"/>
      <c r="S9" s="9"/>
      <c r="T9" s="9"/>
      <c r="U9" s="10">
        <v>1.2394</v>
      </c>
      <c r="V9" s="11"/>
      <c r="W9" s="12">
        <f t="shared" si="1"/>
        <v>3897.535</v>
      </c>
      <c r="X9" s="12">
        <f t="shared" si="3"/>
        <v>7227.797</v>
      </c>
      <c r="Y9" s="12">
        <f t="shared" si="2"/>
        <v>3330.262</v>
      </c>
    </row>
    <row r="10" ht="12.75" customHeight="1">
      <c r="A10" s="7">
        <v>44014.0</v>
      </c>
      <c r="B10" s="8">
        <v>50.0</v>
      </c>
      <c r="D10" s="8">
        <v>3.0</v>
      </c>
      <c r="E10" s="8">
        <v>8.0</v>
      </c>
      <c r="F10" s="8">
        <v>12.0</v>
      </c>
      <c r="G10" s="8">
        <v>0.0</v>
      </c>
      <c r="K10" s="8">
        <v>1000.0</v>
      </c>
      <c r="L10" s="9">
        <v>12.485</v>
      </c>
      <c r="M10" s="9"/>
      <c r="N10" s="9">
        <v>167.035</v>
      </c>
      <c r="O10" s="9">
        <v>121.685</v>
      </c>
      <c r="P10" s="9">
        <v>163.41999999999996</v>
      </c>
      <c r="Q10" s="9">
        <v>159.5</v>
      </c>
      <c r="R10" s="9"/>
      <c r="S10" s="9"/>
      <c r="T10" s="9"/>
      <c r="U10" s="10">
        <v>1.24615</v>
      </c>
      <c r="V10" s="11"/>
      <c r="W10" s="12">
        <f t="shared" si="1"/>
        <v>4059.875</v>
      </c>
      <c r="X10" s="12">
        <f t="shared" si="3"/>
        <v>4576.412</v>
      </c>
      <c r="Y10" s="12">
        <f t="shared" si="2"/>
        <v>516.5370002</v>
      </c>
    </row>
    <row r="11" ht="12.75" customHeight="1">
      <c r="A11" s="7">
        <v>44074.0</v>
      </c>
      <c r="B11" s="8">
        <v>45.0</v>
      </c>
      <c r="D11" s="8">
        <v>2.0</v>
      </c>
      <c r="E11" s="8">
        <v>9.0</v>
      </c>
      <c r="F11" s="8">
        <v>11.0</v>
      </c>
      <c r="G11" s="8">
        <v>1.0</v>
      </c>
      <c r="K11" s="8">
        <v>2800.0</v>
      </c>
      <c r="L11" s="9">
        <v>12.89</v>
      </c>
      <c r="M11" s="9"/>
      <c r="N11" s="9">
        <v>185.16</v>
      </c>
      <c r="O11" s="9">
        <v>122.75</v>
      </c>
      <c r="P11" s="9">
        <v>170.6</v>
      </c>
      <c r="Q11" s="9">
        <v>164.02</v>
      </c>
      <c r="R11" s="9"/>
      <c r="S11" s="9"/>
      <c r="T11" s="9"/>
      <c r="U11" s="10">
        <v>1.31225</v>
      </c>
      <c r="V11" s="11"/>
      <c r="W11" s="12">
        <f t="shared" si="1"/>
        <v>4095.74</v>
      </c>
      <c r="X11" s="12">
        <f t="shared" si="3"/>
        <v>4190.837</v>
      </c>
      <c r="Y11" s="12">
        <f t="shared" si="2"/>
        <v>95.0970002</v>
      </c>
    </row>
    <row r="12" ht="12.75" customHeight="1">
      <c r="A12" s="7">
        <v>44081.0</v>
      </c>
      <c r="B12" s="8">
        <v>16.0</v>
      </c>
      <c r="D12" s="8">
        <v>2.0</v>
      </c>
      <c r="E12" s="8">
        <v>6.0</v>
      </c>
      <c r="F12" s="8">
        <v>9.0</v>
      </c>
      <c r="G12" s="8">
        <v>8.0</v>
      </c>
      <c r="K12" s="8">
        <v>4000.0</v>
      </c>
      <c r="L12" s="9">
        <v>12.785</v>
      </c>
      <c r="M12" s="9"/>
      <c r="N12" s="9">
        <v>179.47</v>
      </c>
      <c r="O12" s="9">
        <v>121.755</v>
      </c>
      <c r="P12" s="9">
        <f>(1315.16+164.39)/9</f>
        <v>164.3944444</v>
      </c>
      <c r="Q12" s="9">
        <v>170.0</v>
      </c>
      <c r="R12" s="9"/>
      <c r="S12" s="9"/>
      <c r="T12" s="9"/>
      <c r="U12" s="10">
        <v>1.3167</v>
      </c>
      <c r="V12" s="11"/>
      <c r="W12" s="12">
        <f t="shared" si="1"/>
        <v>4133.58</v>
      </c>
      <c r="X12" s="12">
        <f t="shared" si="3"/>
        <v>5361.897</v>
      </c>
      <c r="Y12" s="12">
        <f t="shared" si="2"/>
        <v>1228.317</v>
      </c>
    </row>
    <row r="13" ht="12.75" customHeight="1">
      <c r="A13" s="7">
        <v>44110.0</v>
      </c>
      <c r="B13" s="8">
        <v>18.0</v>
      </c>
      <c r="D13" s="8">
        <v>1.0</v>
      </c>
      <c r="E13" s="8">
        <v>4.0</v>
      </c>
      <c r="F13" s="8">
        <v>11.0</v>
      </c>
      <c r="G13" s="8">
        <v>6.0</v>
      </c>
      <c r="K13" s="8">
        <v>3000.0</v>
      </c>
      <c r="L13" s="9">
        <v>13.145</v>
      </c>
      <c r="M13" s="9"/>
      <c r="N13" s="9">
        <v>177.78</v>
      </c>
      <c r="O13" s="9">
        <v>121.265</v>
      </c>
      <c r="P13" s="9">
        <v>160.83</v>
      </c>
      <c r="Q13" s="9">
        <f>(171.8*5+171.83*1)/6</f>
        <v>171.805</v>
      </c>
      <c r="R13" s="9"/>
      <c r="S13" s="9"/>
      <c r="T13" s="9"/>
      <c r="U13" s="10">
        <v>1.29065</v>
      </c>
      <c r="V13" s="11"/>
      <c r="W13" s="12">
        <f t="shared" si="1"/>
        <v>3699.41</v>
      </c>
      <c r="X13" s="12">
        <f t="shared" si="3"/>
        <v>5100.267</v>
      </c>
      <c r="Y13" s="12">
        <f t="shared" si="2"/>
        <v>1400.857</v>
      </c>
    </row>
    <row r="14" ht="12.75" customHeight="1">
      <c r="A14" s="7">
        <v>44141.0</v>
      </c>
      <c r="B14" s="8">
        <v>29.0</v>
      </c>
      <c r="D14" s="8">
        <v>2.0</v>
      </c>
      <c r="E14" s="8">
        <v>6.0</v>
      </c>
      <c r="F14" s="8">
        <v>8.0</v>
      </c>
      <c r="G14" s="8">
        <v>8.0</v>
      </c>
      <c r="K14" s="8">
        <v>3000.0</v>
      </c>
      <c r="L14" s="13">
        <v>13.105</v>
      </c>
      <c r="M14" s="13"/>
      <c r="N14" s="13">
        <v>183.345</v>
      </c>
      <c r="O14" s="13">
        <v>120.535</v>
      </c>
      <c r="P14" s="13">
        <v>159.68</v>
      </c>
      <c r="Q14" s="13">
        <f>(179.355+179.43)/2</f>
        <v>179.3925</v>
      </c>
      <c r="U14" s="14">
        <v>1.3157</v>
      </c>
      <c r="V14" s="11"/>
      <c r="W14" s="12">
        <f t="shared" si="1"/>
        <v>4182.525</v>
      </c>
      <c r="X14" s="12">
        <f t="shared" si="3"/>
        <v>5347.957</v>
      </c>
      <c r="Y14" s="12">
        <f t="shared" si="2"/>
        <v>1165.432</v>
      </c>
    </row>
    <row r="15" ht="12.75" customHeight="1">
      <c r="A15" s="7">
        <v>44169.0</v>
      </c>
      <c r="B15" s="8">
        <v>6.0</v>
      </c>
      <c r="D15" s="8">
        <v>3.0</v>
      </c>
      <c r="E15" s="8">
        <v>7.0</v>
      </c>
      <c r="F15" s="8">
        <v>14.0</v>
      </c>
      <c r="G15" s="8">
        <v>3.0</v>
      </c>
      <c r="K15" s="8">
        <v>3000.0</v>
      </c>
      <c r="L15" s="13">
        <v>14.090000000000002</v>
      </c>
      <c r="M15" s="13"/>
      <c r="N15" s="13">
        <v>172.26</v>
      </c>
      <c r="O15" s="13">
        <v>119.34</v>
      </c>
      <c r="P15" s="13">
        <v>155.34</v>
      </c>
      <c r="Q15" s="13">
        <v>190.97</v>
      </c>
      <c r="U15" s="14">
        <v>1.3489000000000002</v>
      </c>
      <c r="V15" s="11"/>
      <c r="W15" s="12">
        <f t="shared" si="1"/>
        <v>4184.37</v>
      </c>
      <c r="X15" s="12">
        <f t="shared" si="3"/>
        <v>5212.132</v>
      </c>
      <c r="Y15" s="12">
        <f t="shared" si="2"/>
        <v>1027.762</v>
      </c>
    </row>
    <row r="16" ht="12.75" customHeight="1">
      <c r="A16" s="7">
        <v>44200.0</v>
      </c>
      <c r="B16" s="8">
        <v>10.0</v>
      </c>
      <c r="D16" s="8">
        <v>1.0</v>
      </c>
      <c r="E16" s="8">
        <v>6.0</v>
      </c>
      <c r="F16" s="8">
        <v>7.0</v>
      </c>
      <c r="G16" s="8">
        <v>10.0</v>
      </c>
      <c r="K16" s="8">
        <v>4000.0</v>
      </c>
      <c r="L16" s="13">
        <v>14.685</v>
      </c>
      <c r="M16" s="13"/>
      <c r="N16" s="13">
        <v>182.14</v>
      </c>
      <c r="O16" s="13">
        <v>120.02</v>
      </c>
      <c r="P16" s="13">
        <v>157.835</v>
      </c>
      <c r="Q16" s="13">
        <v>191.47</v>
      </c>
      <c r="U16" s="14">
        <v>1.35515</v>
      </c>
      <c r="V16" s="11"/>
      <c r="W16" s="12">
        <f t="shared" si="1"/>
        <v>4068.655</v>
      </c>
      <c r="X16" s="12">
        <f t="shared" si="3"/>
        <v>6448.362</v>
      </c>
      <c r="Y16" s="12">
        <f t="shared" si="2"/>
        <v>2379.707</v>
      </c>
    </row>
    <row r="17" ht="12.75" customHeight="1">
      <c r="A17" s="7">
        <v>44228.0</v>
      </c>
      <c r="D17" s="8">
        <v>4.0</v>
      </c>
      <c r="F17" s="8">
        <v>18.0</v>
      </c>
      <c r="K17" s="8">
        <v>10000.0</v>
      </c>
      <c r="L17" s="13">
        <v>16.77</v>
      </c>
      <c r="M17" s="13"/>
      <c r="N17" s="13">
        <f>(160.72+160.775*3)/4</f>
        <v>160.76125</v>
      </c>
      <c r="O17" s="13">
        <v>115.17</v>
      </c>
      <c r="P17" s="13">
        <v>139.925</v>
      </c>
      <c r="Q17" s="13">
        <v>201.41</v>
      </c>
      <c r="U17" s="14">
        <v>1.39622</v>
      </c>
      <c r="V17" s="11"/>
      <c r="W17" s="12">
        <f t="shared" si="1"/>
        <v>3161.695</v>
      </c>
      <c r="X17" s="12">
        <f t="shared" si="3"/>
        <v>16341.907</v>
      </c>
      <c r="Y17" s="12">
        <f t="shared" si="2"/>
        <v>13180.212</v>
      </c>
    </row>
    <row r="18" ht="12.75" customHeight="1">
      <c r="A18" s="7">
        <v>44348.0</v>
      </c>
      <c r="B18" s="8">
        <v>-54.0</v>
      </c>
      <c r="G18" s="8">
        <v>-8.0</v>
      </c>
      <c r="L18" s="13">
        <v>18.905</v>
      </c>
      <c r="M18" s="13"/>
      <c r="N18" s="13">
        <v>178.16</v>
      </c>
      <c r="O18" s="13">
        <v>114.29</v>
      </c>
      <c r="P18" s="13">
        <v>138.15</v>
      </c>
      <c r="Q18" s="13">
        <v>218.44</v>
      </c>
      <c r="U18" s="14"/>
      <c r="V18" s="11"/>
      <c r="W18" s="12">
        <f t="shared" si="1"/>
        <v>-2768.39</v>
      </c>
      <c r="X18" s="12">
        <f t="shared" si="3"/>
        <v>13180.212</v>
      </c>
      <c r="Y18" s="12">
        <f t="shared" si="2"/>
        <v>15948.602</v>
      </c>
    </row>
    <row r="19" ht="12.75" customHeight="1">
      <c r="A19" s="7">
        <v>44378.0</v>
      </c>
      <c r="E19" s="8">
        <v>11.0</v>
      </c>
      <c r="F19" s="8">
        <v>12.0</v>
      </c>
      <c r="L19" s="13"/>
      <c r="M19" s="13"/>
      <c r="N19" s="13"/>
      <c r="O19" s="13">
        <v>114.285</v>
      </c>
      <c r="P19" s="13">
        <v>138.09500000000003</v>
      </c>
      <c r="Q19" s="13"/>
      <c r="U19" s="14"/>
      <c r="V19" s="11"/>
      <c r="W19" s="12">
        <f t="shared" si="1"/>
        <v>2914.275</v>
      </c>
      <c r="X19" s="12"/>
      <c r="Y19" s="12">
        <f t="shared" si="2"/>
        <v>-2914.275</v>
      </c>
    </row>
    <row r="20" ht="12.75" customHeight="1">
      <c r="A20" s="7">
        <v>44397.0</v>
      </c>
      <c r="K20" s="8">
        <v>1000.0</v>
      </c>
      <c r="L20" s="13"/>
      <c r="M20" s="13"/>
      <c r="N20" s="13"/>
      <c r="O20" s="13"/>
      <c r="P20" s="13"/>
      <c r="Q20" s="13"/>
      <c r="U20" s="14">
        <v>1.35915</v>
      </c>
      <c r="V20" s="11"/>
      <c r="W20" s="12"/>
      <c r="X20" s="12"/>
      <c r="Y20" s="12">
        <f t="shared" si="2"/>
        <v>0</v>
      </c>
    </row>
    <row r="21" ht="12.75" customHeight="1">
      <c r="A21" s="7">
        <v>44432.0</v>
      </c>
      <c r="B21" s="8">
        <v>14.0</v>
      </c>
      <c r="D21" s="8">
        <v>2.0</v>
      </c>
      <c r="L21" s="13">
        <v>18.925</v>
      </c>
      <c r="M21" s="13"/>
      <c r="N21" s="13">
        <v>169.01499999999996</v>
      </c>
      <c r="O21" s="13">
        <v>117.29</v>
      </c>
      <c r="P21" s="13">
        <v>149.56</v>
      </c>
      <c r="Q21" s="13">
        <v>231.03</v>
      </c>
      <c r="U21" s="14"/>
      <c r="V21" s="11"/>
      <c r="W21" s="12">
        <f>SUMPRODUCT(B21:G21,L21:Q21)</f>
        <v>602.98</v>
      </c>
      <c r="X21" s="12"/>
      <c r="Y21" s="12">
        <f t="shared" si="2"/>
        <v>-602.98</v>
      </c>
    </row>
    <row r="22" ht="12.75" customHeight="1">
      <c r="A22" s="7">
        <v>44439.0</v>
      </c>
      <c r="K22" s="8">
        <v>3000.0</v>
      </c>
      <c r="L22" s="13"/>
      <c r="M22" s="13"/>
      <c r="N22" s="13"/>
      <c r="O22" s="13"/>
      <c r="P22" s="13"/>
      <c r="Q22" s="13"/>
      <c r="U22" s="14">
        <v>1.3751000000000002</v>
      </c>
      <c r="V22" s="11"/>
      <c r="W22" s="12"/>
      <c r="X22" s="12">
        <f t="shared" ref="X22:X30" si="4">K22*U22+Y21+K22*V22</f>
        <v>3522.32</v>
      </c>
      <c r="Y22" s="12">
        <f t="shared" si="2"/>
        <v>3522.32</v>
      </c>
    </row>
    <row r="23" ht="12.75" customHeight="1">
      <c r="A23" s="15">
        <v>44447.0</v>
      </c>
      <c r="H23" s="16"/>
      <c r="I23" s="16"/>
      <c r="J23" s="16"/>
      <c r="K23" s="16">
        <v>3000.0</v>
      </c>
      <c r="L23" s="13"/>
      <c r="M23" s="13"/>
      <c r="N23" s="13"/>
      <c r="O23" s="13"/>
      <c r="P23" s="13"/>
      <c r="Q23" s="13"/>
      <c r="R23" s="16"/>
      <c r="S23" s="16"/>
      <c r="T23" s="16"/>
      <c r="U23" s="17">
        <v>1.3754</v>
      </c>
      <c r="V23" s="14"/>
      <c r="W23" s="18"/>
      <c r="X23" s="12">
        <f t="shared" si="4"/>
        <v>7648.52</v>
      </c>
      <c r="Y23" s="12">
        <f t="shared" si="2"/>
        <v>7648.52</v>
      </c>
    </row>
    <row r="24" ht="12.75" customHeight="1">
      <c r="A24" s="15">
        <v>44459.0</v>
      </c>
      <c r="H24" s="16"/>
      <c r="I24" s="16"/>
      <c r="J24" s="16"/>
      <c r="K24" s="16">
        <v>2000.0</v>
      </c>
      <c r="L24" s="13"/>
      <c r="M24" s="13"/>
      <c r="N24" s="13"/>
      <c r="O24" s="13"/>
      <c r="P24" s="13"/>
      <c r="Q24" s="13"/>
      <c r="R24" s="16"/>
      <c r="S24" s="16"/>
      <c r="T24" s="16"/>
      <c r="U24" s="17">
        <v>1.3662</v>
      </c>
      <c r="V24" s="14"/>
      <c r="W24" s="18"/>
      <c r="X24" s="12">
        <f t="shared" si="4"/>
        <v>10380.92</v>
      </c>
      <c r="Y24" s="12">
        <f t="shared" si="2"/>
        <v>10380.92</v>
      </c>
    </row>
    <row r="25" ht="12.75" customHeight="1">
      <c r="A25" s="15">
        <v>44474.0</v>
      </c>
      <c r="B25" s="16">
        <v>0.0</v>
      </c>
      <c r="C25" s="16"/>
      <c r="D25" s="16">
        <v>2.0</v>
      </c>
      <c r="E25" s="16">
        <v>8.0</v>
      </c>
      <c r="F25" s="16">
        <v>6.0</v>
      </c>
      <c r="G25" s="16">
        <v>9.0</v>
      </c>
      <c r="H25" s="16"/>
      <c r="I25" s="16"/>
      <c r="J25" s="16"/>
      <c r="K25" s="16">
        <v>2000.0</v>
      </c>
      <c r="L25" s="19">
        <v>21.01</v>
      </c>
      <c r="M25" s="19"/>
      <c r="N25" s="19">
        <v>163.76</v>
      </c>
      <c r="O25" s="19">
        <v>115.025</v>
      </c>
      <c r="P25" s="19">
        <v>143.655</v>
      </c>
      <c r="Q25" s="19">
        <v>224.62</v>
      </c>
      <c r="R25" s="16"/>
      <c r="S25" s="16"/>
      <c r="T25" s="16"/>
      <c r="U25" s="17">
        <v>1.36275</v>
      </c>
      <c r="V25" s="11"/>
      <c r="W25" s="12">
        <f>SUMPRODUCT(B25:G25,L25:Q25)</f>
        <v>4131.23</v>
      </c>
      <c r="X25" s="12">
        <f t="shared" si="4"/>
        <v>13106.42</v>
      </c>
      <c r="Y25" s="12">
        <f t="shared" si="2"/>
        <v>8975.19</v>
      </c>
    </row>
    <row r="26" ht="12.75" customHeight="1">
      <c r="A26" s="20">
        <v>44474.0</v>
      </c>
      <c r="H26" s="16"/>
      <c r="I26" s="16"/>
      <c r="J26" s="16"/>
      <c r="K26" s="16">
        <v>8900.0</v>
      </c>
      <c r="L26" s="13"/>
      <c r="M26" s="13"/>
      <c r="N26" s="13"/>
      <c r="O26" s="13"/>
      <c r="P26" s="13"/>
      <c r="Q26" s="13"/>
      <c r="U26" s="14"/>
      <c r="V26" s="17">
        <v>1.07695</v>
      </c>
      <c r="W26" s="18"/>
      <c r="X26" s="12">
        <f t="shared" si="4"/>
        <v>18560.045</v>
      </c>
      <c r="Y26" s="12">
        <f t="shared" si="2"/>
        <v>18560.045</v>
      </c>
    </row>
    <row r="27" ht="12.75" customHeight="1">
      <c r="A27" s="20">
        <v>44491.0</v>
      </c>
      <c r="H27" s="16"/>
      <c r="I27" s="16"/>
      <c r="J27" s="16"/>
      <c r="K27" s="16">
        <v>10000.0</v>
      </c>
      <c r="L27" s="13"/>
      <c r="M27" s="13"/>
      <c r="N27" s="13"/>
      <c r="O27" s="13"/>
      <c r="P27" s="13"/>
      <c r="Q27" s="13"/>
      <c r="R27" s="16"/>
      <c r="S27" s="16"/>
      <c r="T27" s="16"/>
      <c r="U27" s="17">
        <v>1.3782</v>
      </c>
      <c r="V27" s="14"/>
      <c r="W27" s="18"/>
      <c r="X27" s="12">
        <f t="shared" si="4"/>
        <v>32342.045</v>
      </c>
      <c r="Y27" s="12">
        <f t="shared" si="2"/>
        <v>32342.045</v>
      </c>
    </row>
    <row r="28" ht="12.75" customHeight="1">
      <c r="A28" s="20">
        <v>44491.0</v>
      </c>
      <c r="H28" s="16"/>
      <c r="I28" s="16"/>
      <c r="J28" s="16"/>
      <c r="K28" s="16">
        <v>1100.0</v>
      </c>
      <c r="L28" s="13"/>
      <c r="M28" s="13"/>
      <c r="N28" s="13"/>
      <c r="O28" s="13"/>
      <c r="P28" s="13"/>
      <c r="Q28" s="13"/>
      <c r="U28" s="14"/>
      <c r="V28" s="17">
        <v>1.09235</v>
      </c>
      <c r="W28" s="18"/>
      <c r="X28" s="12">
        <f t="shared" si="4"/>
        <v>33543.63</v>
      </c>
      <c r="Y28" s="12">
        <f t="shared" si="2"/>
        <v>33543.63</v>
      </c>
    </row>
    <row r="29" ht="12.75" customHeight="1">
      <c r="A29" s="20">
        <v>44498.0</v>
      </c>
      <c r="H29" s="16"/>
      <c r="I29" s="16"/>
      <c r="J29" s="16"/>
      <c r="K29" s="16">
        <v>10000.0</v>
      </c>
      <c r="L29" s="13"/>
      <c r="M29" s="13"/>
      <c r="N29" s="13"/>
      <c r="O29" s="13"/>
      <c r="P29" s="13"/>
      <c r="Q29" s="13"/>
      <c r="U29" s="14"/>
      <c r="V29" s="17">
        <v>1.0961</v>
      </c>
      <c r="W29" s="18"/>
      <c r="X29" s="12">
        <f t="shared" si="4"/>
        <v>44504.63</v>
      </c>
      <c r="Y29" s="12">
        <f t="shared" si="2"/>
        <v>44504.63</v>
      </c>
    </row>
    <row r="30" ht="12.75" customHeight="1">
      <c r="A30" s="20">
        <v>44503.0</v>
      </c>
      <c r="H30" s="16"/>
      <c r="I30" s="16"/>
      <c r="J30" s="16"/>
      <c r="K30" s="16">
        <v>20000.0</v>
      </c>
      <c r="L30" s="13"/>
      <c r="M30" s="13"/>
      <c r="N30" s="13"/>
      <c r="O30" s="13"/>
      <c r="P30" s="13"/>
      <c r="Q30" s="13"/>
      <c r="U30" s="14"/>
      <c r="V30" s="17">
        <f>(1.09585+1.09485)/2</f>
        <v>1.09535</v>
      </c>
      <c r="W30" s="12"/>
      <c r="X30" s="12">
        <f t="shared" si="4"/>
        <v>66411.63</v>
      </c>
      <c r="Y30" s="12">
        <f t="shared" si="2"/>
        <v>66411.63</v>
      </c>
    </row>
    <row r="31" ht="12.75" customHeight="1">
      <c r="A31" s="21">
        <v>44512.0</v>
      </c>
      <c r="C31" s="16"/>
      <c r="D31" s="16">
        <v>1.0</v>
      </c>
      <c r="E31" s="16">
        <v>9.0</v>
      </c>
      <c r="F31" s="16">
        <v>11.0</v>
      </c>
      <c r="L31" s="19">
        <v>21.35</v>
      </c>
      <c r="M31" s="19"/>
      <c r="N31" s="19">
        <v>174.185</v>
      </c>
      <c r="O31" s="19">
        <v>114.615</v>
      </c>
      <c r="P31" s="19">
        <v>147.335</v>
      </c>
      <c r="Q31" s="19">
        <v>241.4</v>
      </c>
      <c r="U31" s="14"/>
      <c r="V31" s="14"/>
      <c r="W31" s="12">
        <f>SUMPRODUCT(B31:G31,L31:Q31)</f>
        <v>2826.405</v>
      </c>
      <c r="X31" s="18"/>
      <c r="Y31" s="12">
        <f t="shared" si="2"/>
        <v>-2826.405</v>
      </c>
    </row>
    <row r="32" ht="12.75" customHeight="1">
      <c r="A32" s="20">
        <v>44524.0</v>
      </c>
      <c r="H32" s="16"/>
      <c r="I32" s="16"/>
      <c r="J32" s="16"/>
      <c r="K32" s="16">
        <v>3000.0</v>
      </c>
      <c r="L32" s="13"/>
      <c r="M32" s="13"/>
      <c r="N32" s="13"/>
      <c r="O32" s="13"/>
      <c r="P32" s="13"/>
      <c r="Q32" s="13"/>
      <c r="U32" s="14"/>
      <c r="V32" s="17">
        <v>1.0704</v>
      </c>
      <c r="W32" s="12"/>
      <c r="X32" s="12">
        <f t="shared" ref="X32:X33" si="5">K32*U32+Y31+K32*V32</f>
        <v>384.795</v>
      </c>
      <c r="Y32" s="12">
        <f t="shared" si="2"/>
        <v>384.795</v>
      </c>
    </row>
    <row r="33" ht="12.75" customHeight="1">
      <c r="A33" s="20">
        <v>44533.0</v>
      </c>
      <c r="E33" s="16">
        <v>-3.0</v>
      </c>
      <c r="F33" s="16">
        <v>-10.0</v>
      </c>
      <c r="L33" s="13"/>
      <c r="M33" s="13"/>
      <c r="N33" s="13"/>
      <c r="O33" s="19">
        <v>116.34</v>
      </c>
      <c r="P33" s="19">
        <v>153.925</v>
      </c>
      <c r="Q33" s="13"/>
      <c r="U33" s="14"/>
      <c r="V33" s="14"/>
      <c r="W33" s="12">
        <f t="shared" ref="W33:W34" si="6">SUMPRODUCT(B33:G33,L33:Q33)</f>
        <v>-1888.27</v>
      </c>
      <c r="X33" s="12">
        <f t="shared" si="5"/>
        <v>384.795</v>
      </c>
      <c r="Y33" s="12">
        <f t="shared" si="2"/>
        <v>2273.065</v>
      </c>
    </row>
    <row r="34" ht="12.75" customHeight="1">
      <c r="A34" s="20">
        <v>44533.0</v>
      </c>
      <c r="B34" s="16">
        <v>22.0</v>
      </c>
      <c r="C34" s="16"/>
      <c r="D34" s="16">
        <v>1.0</v>
      </c>
      <c r="G34" s="16">
        <v>5.0</v>
      </c>
      <c r="L34" s="19">
        <v>19.54</v>
      </c>
      <c r="M34" s="19"/>
      <c r="N34" s="19">
        <v>166.34</v>
      </c>
      <c r="O34" s="13"/>
      <c r="P34" s="13"/>
      <c r="Q34" s="19">
        <v>231.05</v>
      </c>
      <c r="U34" s="14"/>
      <c r="V34" s="14"/>
      <c r="W34" s="12">
        <f t="shared" si="6"/>
        <v>1751.47</v>
      </c>
      <c r="X34" s="18"/>
      <c r="Y34" s="12">
        <f t="shared" si="2"/>
        <v>-1751.47</v>
      </c>
    </row>
    <row r="35" ht="12.75" customHeight="1">
      <c r="A35" s="20">
        <v>44594.0</v>
      </c>
      <c r="H35" s="16"/>
      <c r="I35" s="16"/>
      <c r="J35" s="16"/>
      <c r="K35" s="16">
        <v>7000.0</v>
      </c>
      <c r="L35" s="13"/>
      <c r="M35" s="13"/>
      <c r="N35" s="13"/>
      <c r="O35" s="13"/>
      <c r="P35" s="13"/>
      <c r="Q35" s="13"/>
      <c r="U35" s="14"/>
      <c r="V35" s="17">
        <v>1.08855</v>
      </c>
      <c r="W35" s="18"/>
      <c r="X35" s="12">
        <f t="shared" ref="X35:X36" si="7">K35*U35+Y34+K35*V35-1.89</f>
        <v>5866.49</v>
      </c>
      <c r="Y35" s="12">
        <f t="shared" si="2"/>
        <v>5866.49</v>
      </c>
    </row>
    <row r="36" ht="12.75" customHeight="1">
      <c r="A36" s="15">
        <v>44615.0</v>
      </c>
      <c r="H36" s="16"/>
      <c r="I36" s="16"/>
      <c r="J36" s="16"/>
      <c r="K36" s="16">
        <v>10000.0</v>
      </c>
      <c r="L36" s="13"/>
      <c r="M36" s="13"/>
      <c r="N36" s="13"/>
      <c r="O36" s="13"/>
      <c r="P36" s="13"/>
      <c r="Q36" s="13"/>
      <c r="U36" s="14"/>
      <c r="V36" s="17">
        <v>1.08925</v>
      </c>
      <c r="W36" s="18"/>
      <c r="X36" s="12">
        <f t="shared" si="7"/>
        <v>16757.1</v>
      </c>
      <c r="Y36" s="12">
        <f t="shared" si="2"/>
        <v>16757.1</v>
      </c>
    </row>
    <row r="37" ht="12.75" customHeight="1">
      <c r="A37" s="20">
        <v>44690.0</v>
      </c>
      <c r="B37" s="16">
        <v>-5.0</v>
      </c>
      <c r="L37" s="19">
        <v>26.99</v>
      </c>
      <c r="M37" s="13"/>
      <c r="N37" s="13"/>
      <c r="O37" s="13"/>
      <c r="P37" s="13"/>
      <c r="Q37" s="13"/>
      <c r="U37" s="14"/>
      <c r="V37" s="14"/>
      <c r="W37" s="12">
        <f>SUMPRODUCT(B37:G37,L37:Q37)</f>
        <v>-134.95</v>
      </c>
      <c r="X37" s="18"/>
      <c r="Y37" s="12">
        <f t="shared" si="2"/>
        <v>134.95</v>
      </c>
    </row>
    <row r="38" ht="12.75" customHeight="1">
      <c r="A38" s="15">
        <v>44868.0</v>
      </c>
      <c r="H38" s="16"/>
      <c r="I38" s="16"/>
      <c r="J38" s="16"/>
      <c r="K38" s="16"/>
      <c r="L38" s="13"/>
      <c r="M38" s="13"/>
      <c r="N38" s="13"/>
      <c r="O38" s="13"/>
      <c r="P38" s="13"/>
      <c r="Q38" s="13"/>
      <c r="U38" s="14"/>
      <c r="V38" s="17">
        <v>0.987</v>
      </c>
      <c r="W38" s="18"/>
      <c r="X38" s="12">
        <f>K38*U38+Y37+K38*V38-1.89</f>
        <v>133.06</v>
      </c>
      <c r="Y38" s="12">
        <f t="shared" si="2"/>
        <v>133.06</v>
      </c>
    </row>
    <row r="39" ht="12.75" customHeight="1">
      <c r="A39" s="20">
        <v>44911.0</v>
      </c>
      <c r="B39" s="16">
        <v>-320.0</v>
      </c>
      <c r="L39" s="19">
        <v>24.26</v>
      </c>
      <c r="M39" s="13"/>
      <c r="N39" s="13"/>
      <c r="O39" s="13"/>
      <c r="P39" s="13"/>
      <c r="Q39" s="13"/>
      <c r="U39" s="14"/>
      <c r="V39" s="14"/>
      <c r="W39" s="12">
        <f t="shared" ref="W39:W46" si="8">SUMPRODUCT(B39:G39,L39:Q39)</f>
        <v>-7763.2</v>
      </c>
      <c r="X39" s="18"/>
      <c r="Y39" s="12">
        <f t="shared" si="2"/>
        <v>7763.2</v>
      </c>
    </row>
    <row r="40" ht="12.75" customHeight="1">
      <c r="A40" s="15">
        <v>44978.0</v>
      </c>
      <c r="C40" s="16">
        <v>197.0</v>
      </c>
      <c r="F40" s="16">
        <v>23.0</v>
      </c>
      <c r="L40" s="13"/>
      <c r="M40" s="19">
        <v>27.47</v>
      </c>
      <c r="N40" s="19"/>
      <c r="O40" s="19"/>
      <c r="P40" s="19">
        <v>100.545</v>
      </c>
      <c r="Q40" s="19"/>
      <c r="U40" s="14"/>
      <c r="V40" s="14"/>
      <c r="W40" s="12">
        <f t="shared" si="8"/>
        <v>7724.125</v>
      </c>
      <c r="X40" s="12"/>
      <c r="Y40" s="12">
        <f t="shared" si="2"/>
        <v>-7724.125</v>
      </c>
    </row>
    <row r="41" ht="12.75" customHeight="1">
      <c r="A41" s="15">
        <v>44986.0</v>
      </c>
      <c r="F41" s="16">
        <v>11.0</v>
      </c>
      <c r="G41" s="16">
        <v>6.0</v>
      </c>
      <c r="L41" s="13"/>
      <c r="M41" s="13"/>
      <c r="N41" s="13"/>
      <c r="O41" s="13"/>
      <c r="P41" s="19">
        <v>100.255</v>
      </c>
      <c r="Q41" s="16">
        <v>199.0</v>
      </c>
      <c r="U41" s="14"/>
      <c r="V41" s="14"/>
      <c r="W41" s="12">
        <f t="shared" si="8"/>
        <v>2296.805</v>
      </c>
      <c r="X41" s="18"/>
      <c r="Y41" s="12">
        <f t="shared" si="2"/>
        <v>-2296.805</v>
      </c>
    </row>
    <row r="42" ht="12.75" customHeight="1">
      <c r="A42" s="15">
        <v>44986.0</v>
      </c>
      <c r="G42" s="16">
        <v>-6.0</v>
      </c>
      <c r="L42" s="13"/>
      <c r="M42" s="13"/>
      <c r="N42" s="13"/>
      <c r="O42" s="13"/>
      <c r="P42" s="13"/>
      <c r="Q42" s="19">
        <v>198.75</v>
      </c>
      <c r="U42" s="14"/>
      <c r="V42" s="14"/>
      <c r="W42" s="12">
        <f t="shared" si="8"/>
        <v>-1192.5</v>
      </c>
      <c r="X42" s="18"/>
      <c r="Y42" s="12">
        <f t="shared" si="2"/>
        <v>1192.5</v>
      </c>
    </row>
    <row r="43" ht="12.75" customHeight="1">
      <c r="A43" s="15">
        <v>45009.0</v>
      </c>
      <c r="F43" s="16"/>
      <c r="G43" s="16">
        <v>3.0</v>
      </c>
      <c r="L43" s="13"/>
      <c r="M43" s="13"/>
      <c r="N43" s="13"/>
      <c r="O43" s="13"/>
      <c r="P43" s="19"/>
      <c r="Q43" s="19">
        <v>197.0</v>
      </c>
      <c r="U43" s="14"/>
      <c r="V43" s="14"/>
      <c r="W43" s="12">
        <f t="shared" si="8"/>
        <v>591</v>
      </c>
      <c r="X43" s="18"/>
      <c r="Y43" s="12">
        <f t="shared" si="2"/>
        <v>-591</v>
      </c>
    </row>
    <row r="44" ht="12.75" customHeight="1">
      <c r="A44" s="15">
        <v>45044.0</v>
      </c>
      <c r="F44" s="16"/>
      <c r="G44" s="16">
        <v>5.0</v>
      </c>
      <c r="L44" s="13"/>
      <c r="M44" s="13"/>
      <c r="N44" s="13"/>
      <c r="O44" s="13"/>
      <c r="P44" s="19"/>
      <c r="Q44" s="19">
        <v>206.0</v>
      </c>
      <c r="U44" s="14"/>
      <c r="V44" s="14"/>
      <c r="W44" s="12">
        <f t="shared" si="8"/>
        <v>1030</v>
      </c>
      <c r="X44" s="18"/>
      <c r="Y44" s="12">
        <f t="shared" si="2"/>
        <v>-1030</v>
      </c>
    </row>
    <row r="45" ht="12.75" customHeight="1">
      <c r="A45" s="15">
        <v>45138.0</v>
      </c>
      <c r="F45" s="16">
        <v>20.0</v>
      </c>
      <c r="G45" s="16">
        <v>-9.0</v>
      </c>
      <c r="L45" s="13"/>
      <c r="M45" s="13"/>
      <c r="N45" s="13"/>
      <c r="O45" s="13"/>
      <c r="P45" s="19">
        <v>99.84</v>
      </c>
      <c r="Q45" s="19">
        <v>227.98</v>
      </c>
      <c r="U45" s="14"/>
      <c r="V45" s="14"/>
      <c r="W45" s="12">
        <f t="shared" si="8"/>
        <v>-55.02</v>
      </c>
      <c r="X45" s="18"/>
      <c r="Y45" s="12">
        <f t="shared" si="2"/>
        <v>55.02</v>
      </c>
    </row>
    <row r="46" ht="12.75" customHeight="1">
      <c r="A46" s="15">
        <v>45516.0</v>
      </c>
      <c r="C46" s="16">
        <v>15.0</v>
      </c>
      <c r="E46" s="16">
        <v>12.0</v>
      </c>
      <c r="F46" s="16">
        <v>21.0</v>
      </c>
      <c r="G46" s="16">
        <v>-13.0</v>
      </c>
      <c r="L46" s="13"/>
      <c r="M46" s="19">
        <v>26.57</v>
      </c>
      <c r="N46" s="19"/>
      <c r="O46" s="19">
        <v>96.93</v>
      </c>
      <c r="P46" s="19">
        <v>96.7</v>
      </c>
      <c r="Q46" s="19">
        <v>262.41</v>
      </c>
      <c r="U46" s="14"/>
      <c r="V46" s="14"/>
      <c r="W46" s="12">
        <f t="shared" si="8"/>
        <v>181.08</v>
      </c>
      <c r="X46" s="18"/>
      <c r="Y46" s="12">
        <f t="shared" si="2"/>
        <v>-181.08</v>
      </c>
    </row>
    <row r="47" ht="12.75" customHeight="1">
      <c r="A47" s="15">
        <v>45804.0</v>
      </c>
      <c r="C47" s="16">
        <v>92.0</v>
      </c>
      <c r="D47" s="16">
        <v>11.0</v>
      </c>
      <c r="E47" s="16">
        <v>-72.0</v>
      </c>
      <c r="F47" s="16">
        <v>-132.0</v>
      </c>
      <c r="G47" s="16">
        <v>-14.0</v>
      </c>
      <c r="H47" s="16"/>
      <c r="I47" s="16">
        <v>70.0</v>
      </c>
      <c r="J47" s="16">
        <v>53.0</v>
      </c>
      <c r="L47" s="13"/>
      <c r="M47" s="19">
        <v>25.04</v>
      </c>
      <c r="N47" s="19">
        <v>304.29</v>
      </c>
      <c r="O47" s="19">
        <v>94.21</v>
      </c>
      <c r="P47" s="19">
        <v>85.89</v>
      </c>
      <c r="Q47" s="19">
        <v>290.79</v>
      </c>
      <c r="R47" s="16"/>
      <c r="S47" s="16">
        <v>82.53</v>
      </c>
      <c r="T47" s="16">
        <v>108.91</v>
      </c>
      <c r="U47" s="14"/>
      <c r="V47" s="14"/>
      <c r="W47" s="12">
        <f t="shared" ref="W47:W48" si="9">SUMPRODUCT(B47:J47,L47:T47)</f>
        <v>-4991.46</v>
      </c>
      <c r="X47" s="18"/>
      <c r="Y47" s="12">
        <f t="shared" si="2"/>
        <v>4991.46</v>
      </c>
    </row>
    <row r="48" ht="12.75" customHeight="1">
      <c r="A48" s="15">
        <v>45922.0</v>
      </c>
      <c r="C48" s="16"/>
      <c r="E48" s="16"/>
      <c r="F48" s="16"/>
      <c r="G48" s="16">
        <v>-60.0</v>
      </c>
      <c r="H48" s="16">
        <v>160.0</v>
      </c>
      <c r="L48" s="13"/>
      <c r="M48" s="13"/>
      <c r="N48" s="13"/>
      <c r="O48" s="13"/>
      <c r="P48" s="13"/>
      <c r="Q48" s="19">
        <v>329.64</v>
      </c>
      <c r="R48" s="16">
        <v>122.08</v>
      </c>
      <c r="W48" s="12">
        <f t="shared" si="9"/>
        <v>-245.6</v>
      </c>
      <c r="Y48" s="12">
        <f t="shared" si="2"/>
        <v>245.6</v>
      </c>
    </row>
    <row r="49" ht="12.75" customHeight="1">
      <c r="A49" s="22"/>
      <c r="C49" s="16"/>
      <c r="E49" s="16"/>
      <c r="F49" s="16"/>
      <c r="L49" s="13"/>
      <c r="M49" s="13"/>
      <c r="N49" s="13"/>
      <c r="O49" s="13"/>
      <c r="P49" s="13"/>
      <c r="Q49" s="13"/>
    </row>
    <row r="50" ht="12.75" customHeight="1">
      <c r="A50" s="22" t="s">
        <v>15</v>
      </c>
      <c r="C50" s="16">
        <v>8.0</v>
      </c>
      <c r="E50" s="16">
        <v>1.0</v>
      </c>
      <c r="F50" s="16">
        <v>3.0</v>
      </c>
      <c r="L50" s="13"/>
      <c r="M50" s="13"/>
      <c r="N50" s="13"/>
      <c r="O50" s="13"/>
      <c r="P50" s="13"/>
      <c r="Q50" s="13"/>
    </row>
    <row r="51" ht="12.75" customHeight="1">
      <c r="L51" s="13"/>
      <c r="M51" s="13"/>
      <c r="N51" s="13"/>
      <c r="O51" s="13"/>
      <c r="P51" s="13"/>
      <c r="Q51" s="13"/>
    </row>
    <row r="52" ht="12.75" customHeight="1">
      <c r="A52" s="23" t="s">
        <v>16</v>
      </c>
      <c r="B52" s="23">
        <f t="shared" ref="B52:J52" si="10">SUM(B2:B51)</f>
        <v>0</v>
      </c>
      <c r="C52" s="23">
        <f t="shared" si="10"/>
        <v>312</v>
      </c>
      <c r="D52" s="23">
        <f t="shared" si="10"/>
        <v>49</v>
      </c>
      <c r="E52" s="23">
        <f t="shared" si="10"/>
        <v>50</v>
      </c>
      <c r="F52" s="23">
        <f t="shared" si="10"/>
        <v>111</v>
      </c>
      <c r="G52" s="23">
        <f t="shared" si="10"/>
        <v>59</v>
      </c>
      <c r="H52" s="23">
        <f t="shared" si="10"/>
        <v>160</v>
      </c>
      <c r="I52" s="23">
        <f t="shared" si="10"/>
        <v>70</v>
      </c>
      <c r="J52" s="23">
        <f t="shared" si="10"/>
        <v>53</v>
      </c>
      <c r="K52" s="24" t="s">
        <v>17</v>
      </c>
      <c r="M52" s="25"/>
      <c r="N52" s="25" t="s">
        <v>18</v>
      </c>
      <c r="P52" s="26">
        <f>(($K$53/SUM($W$2:W48))^(1/(DATEDIF(A2,A48,"M")+1)))^12-1</f>
        <v>0.05226490286</v>
      </c>
    </row>
    <row r="53" ht="12.75" customHeight="1">
      <c r="A53" s="8" t="s">
        <v>19</v>
      </c>
      <c r="B53" s="27">
        <f>IFERROR(__xludf.DUMMYFUNCTION("B52*GOOGLEFINANCE(B1, ""price"")"),0.0)</f>
        <v>0</v>
      </c>
      <c r="C53" s="27">
        <f>IFERROR(__xludf.DUMMYFUNCTION("C52*GOOGLEFINANCE(C1, ""price"")"),8417.76)</f>
        <v>8417.76</v>
      </c>
      <c r="D53" s="27">
        <f>IFERROR(__xludf.DUMMYFUNCTION("D52*GOOGLEFINANCE(D1, ""price"")"),19006.12)</f>
        <v>19006.12</v>
      </c>
      <c r="E53" s="27">
        <f>IFERROR(__xludf.DUMMYFUNCTION("E52*GOOGLEFINANCE(E1, ""price"")"),4875.0)</f>
        <v>4875</v>
      </c>
      <c r="F53" s="27">
        <f>IFERROR(__xludf.DUMMYFUNCTION("F52*GOOGLEFINANCE(F1, ""price"")"),10013.31)</f>
        <v>10013.31</v>
      </c>
      <c r="G53" s="27">
        <f>IFERROR(__xludf.DUMMYFUNCTION("G52*GOOGLEFINANCE(G1, ""price"")"),19842.29)</f>
        <v>19842.29</v>
      </c>
      <c r="H53" s="27">
        <f>IFERROR(__xludf.DUMMYFUNCTION("H52*GOOGLEFINANCE(H1, ""price"")"),19219.2)</f>
        <v>19219.2</v>
      </c>
      <c r="I53" s="27">
        <f>IFERROR(__xludf.DUMMYFUNCTION("I52*GOOGLEFINANCE(I1, ""price"")"),5815.599999999999)</f>
        <v>5815.6</v>
      </c>
      <c r="J53" s="27">
        <f>IFERROR(__xludf.DUMMYFUNCTION("J52*GOOGLEFINANCE(J1, ""price"")"),5896.780000000001)</f>
        <v>5896.78</v>
      </c>
      <c r="K53" s="28">
        <f t="shared" ref="K53:K55" si="13">SUM(B53:J53)</f>
        <v>93086.06</v>
      </c>
    </row>
    <row r="54" ht="12.75" customHeight="1">
      <c r="A54" s="8" t="s">
        <v>20</v>
      </c>
      <c r="B54" s="26">
        <f t="shared" ref="B54:G54" si="11">B53/$K$53</f>
        <v>0</v>
      </c>
      <c r="C54" s="29">
        <f t="shared" si="11"/>
        <v>0.09042986673</v>
      </c>
      <c r="D54" s="29">
        <f t="shared" si="11"/>
        <v>0.2041779403</v>
      </c>
      <c r="E54" s="29">
        <f t="shared" si="11"/>
        <v>0.05237089205</v>
      </c>
      <c r="F54" s="29">
        <f t="shared" si="11"/>
        <v>0.1075704568</v>
      </c>
      <c r="G54" s="29">
        <f t="shared" si="11"/>
        <v>0.2131607031</v>
      </c>
      <c r="H54" s="29"/>
      <c r="I54" s="29">
        <f t="shared" ref="I54:J54" si="12">I53/$K$53</f>
        <v>0.06247551997</v>
      </c>
      <c r="J54" s="29">
        <f t="shared" si="12"/>
        <v>0.06334761617</v>
      </c>
      <c r="K54" s="27">
        <f t="shared" si="13"/>
        <v>0.7935329952</v>
      </c>
    </row>
    <row r="55" ht="12.75" customHeight="1">
      <c r="A55" s="8" t="s">
        <v>21</v>
      </c>
      <c r="B55" s="29"/>
      <c r="C55" s="30">
        <v>0.1</v>
      </c>
      <c r="D55" s="30">
        <v>0.15</v>
      </c>
      <c r="E55" s="31">
        <v>0.05</v>
      </c>
      <c r="F55" s="31">
        <v>0.1</v>
      </c>
      <c r="G55" s="32">
        <v>0.4</v>
      </c>
      <c r="H55" s="30"/>
      <c r="I55" s="30">
        <v>0.075</v>
      </c>
      <c r="J55" s="30">
        <v>0.075</v>
      </c>
      <c r="K55" s="27">
        <f t="shared" si="13"/>
        <v>0.95</v>
      </c>
    </row>
    <row r="56" ht="12.75" customHeight="1">
      <c r="A56" s="8" t="s">
        <v>22</v>
      </c>
      <c r="C56" s="27">
        <f t="shared" ref="C56:G56" si="14">$K$56*C55</f>
        <v>10000</v>
      </c>
      <c r="D56" s="27">
        <f t="shared" si="14"/>
        <v>15000</v>
      </c>
      <c r="E56" s="27">
        <f t="shared" si="14"/>
        <v>5000</v>
      </c>
      <c r="F56" s="27">
        <f t="shared" si="14"/>
        <v>10000</v>
      </c>
      <c r="G56" s="27">
        <f t="shared" si="14"/>
        <v>40000</v>
      </c>
      <c r="H56" s="27"/>
      <c r="I56" s="27">
        <f t="shared" ref="I56:J56" si="15">$K$56*I55</f>
        <v>7500</v>
      </c>
      <c r="J56" s="27">
        <f t="shared" si="15"/>
        <v>7500</v>
      </c>
      <c r="K56" s="33">
        <v>100000.0</v>
      </c>
      <c r="P56" s="14"/>
    </row>
    <row r="57" ht="12.75" customHeight="1">
      <c r="A57" s="8" t="s">
        <v>23</v>
      </c>
      <c r="B57" s="27"/>
      <c r="C57" s="27">
        <f t="shared" ref="C57:G57" si="16">C56-C53</f>
        <v>1582.24</v>
      </c>
      <c r="D57" s="27">
        <f t="shared" si="16"/>
        <v>-4006.12</v>
      </c>
      <c r="E57" s="27">
        <f t="shared" si="16"/>
        <v>125</v>
      </c>
      <c r="F57" s="27">
        <f t="shared" si="16"/>
        <v>-13.31</v>
      </c>
      <c r="G57" s="27">
        <f t="shared" si="16"/>
        <v>20157.71</v>
      </c>
      <c r="H57" s="27"/>
      <c r="I57" s="27">
        <f t="shared" ref="I57:J57" si="17">I56-I53</f>
        <v>1684.4</v>
      </c>
      <c r="J57" s="27">
        <f t="shared" si="17"/>
        <v>1603.22</v>
      </c>
      <c r="K57" s="27">
        <f>SUM(B57:F57)</f>
        <v>-2312.19</v>
      </c>
    </row>
    <row r="58" ht="12.75" customHeight="1">
      <c r="B58" s="27"/>
      <c r="C58" s="27"/>
      <c r="D58" s="27"/>
      <c r="E58" s="27"/>
      <c r="F58" s="27"/>
      <c r="G58" s="27"/>
      <c r="H58" s="27"/>
      <c r="I58" s="27"/>
      <c r="J58" s="27"/>
      <c r="K58" s="27"/>
    </row>
    <row r="59" ht="12.75" customHeight="1">
      <c r="A59" s="8" t="s">
        <v>24</v>
      </c>
      <c r="B59" s="27">
        <v>-54.13781779661017</v>
      </c>
      <c r="C59" s="27"/>
      <c r="D59" s="27">
        <v>-1.3886506511001346</v>
      </c>
      <c r="E59" s="27">
        <v>11.436486131770058</v>
      </c>
      <c r="F59" s="27">
        <v>11.907144408251897</v>
      </c>
      <c r="G59" s="27">
        <v>-7.71021904500046</v>
      </c>
      <c r="H59" s="27"/>
      <c r="I59" s="27">
        <v>-7.71021904500046</v>
      </c>
      <c r="J59" s="27">
        <v>-7.71021904500046</v>
      </c>
      <c r="K59" s="27"/>
    </row>
    <row r="60" ht="12.75" customHeight="1">
      <c r="A60" s="8" t="s">
        <v>25</v>
      </c>
      <c r="B60" s="27">
        <f>B59*L15</f>
        <v>-762.8018528</v>
      </c>
      <c r="C60" s="27"/>
      <c r="D60" s="27">
        <f t="shared" ref="D60:G60" si="18">D59*N15</f>
        <v>-239.2089612</v>
      </c>
      <c r="E60" s="27">
        <f t="shared" si="18"/>
        <v>1364.830255</v>
      </c>
      <c r="F60" s="27">
        <f t="shared" si="18"/>
        <v>1849.655812</v>
      </c>
      <c r="G60" s="27">
        <f t="shared" si="18"/>
        <v>-1472.420531</v>
      </c>
      <c r="H60" s="27"/>
      <c r="I60" s="27">
        <f t="shared" ref="I60:J60" si="19">I59*S15</f>
        <v>0</v>
      </c>
      <c r="J60" s="27">
        <f t="shared" si="19"/>
        <v>0</v>
      </c>
      <c r="K60" s="27">
        <f>SUM(B60:F60)</f>
        <v>2212.475253</v>
      </c>
    </row>
    <row r="61" ht="12.75" customHeight="1">
      <c r="B61" s="27"/>
      <c r="C61" s="27"/>
      <c r="D61" s="27"/>
      <c r="E61" s="27"/>
      <c r="F61" s="27"/>
    </row>
    <row r="62" ht="12.75" customHeight="1">
      <c r="A62" s="8" t="s">
        <v>26</v>
      </c>
      <c r="B62" s="34">
        <f>B52+ROUND(B59,0)</f>
        <v>-54</v>
      </c>
      <c r="D62" s="34">
        <f t="shared" ref="D62:G62" si="20">D52+ROUND(D59,0)</f>
        <v>48</v>
      </c>
      <c r="E62" s="34">
        <f t="shared" si="20"/>
        <v>61</v>
      </c>
      <c r="F62" s="34">
        <f t="shared" si="20"/>
        <v>123</v>
      </c>
      <c r="G62" s="34">
        <f t="shared" si="20"/>
        <v>51</v>
      </c>
      <c r="I62" s="34">
        <f t="shared" ref="I62:J62" si="21">I52+ROUND(I59,0)</f>
        <v>62</v>
      </c>
      <c r="J62" s="34">
        <f t="shared" si="21"/>
        <v>45</v>
      </c>
    </row>
    <row r="63" ht="12.75" customHeight="1">
      <c r="A63" s="8" t="s">
        <v>27</v>
      </c>
      <c r="B63" s="27">
        <f>B62*L12</f>
        <v>-690.39</v>
      </c>
      <c r="C63" s="27"/>
      <c r="D63" s="27">
        <f t="shared" ref="D63:G63" si="22">D62*N12</f>
        <v>8614.56</v>
      </c>
      <c r="E63" s="27">
        <f t="shared" si="22"/>
        <v>7427.055</v>
      </c>
      <c r="F63" s="27">
        <f t="shared" si="22"/>
        <v>20220.51667</v>
      </c>
      <c r="G63" s="27">
        <f t="shared" si="22"/>
        <v>8670</v>
      </c>
      <c r="H63" s="27"/>
      <c r="I63" s="27">
        <f t="shared" ref="I63:J63" si="23">I62*S12</f>
        <v>0</v>
      </c>
      <c r="J63" s="27">
        <f t="shared" si="23"/>
        <v>0</v>
      </c>
      <c r="K63" s="34">
        <f t="shared" ref="K63:K64" si="26">SUM(B63:G63)</f>
        <v>44241.74167</v>
      </c>
    </row>
    <row r="64" ht="12.75" customHeight="1">
      <c r="A64" s="8" t="s">
        <v>28</v>
      </c>
      <c r="B64" s="35">
        <f>B63/$K$63</f>
        <v>-0.01560494623</v>
      </c>
      <c r="C64" s="35"/>
      <c r="D64" s="35">
        <f t="shared" ref="D64:G64" si="24">D63/$K$63</f>
        <v>0.1947156616</v>
      </c>
      <c r="E64" s="35">
        <f t="shared" si="24"/>
        <v>0.1678743811</v>
      </c>
      <c r="F64" s="35">
        <f t="shared" si="24"/>
        <v>0.4570461267</v>
      </c>
      <c r="G64" s="35">
        <f t="shared" si="24"/>
        <v>0.1959687768</v>
      </c>
      <c r="H64" s="35"/>
      <c r="I64" s="35">
        <f t="shared" ref="I64:J64" si="25">I63/$K$63</f>
        <v>0</v>
      </c>
      <c r="J64" s="35">
        <f t="shared" si="25"/>
        <v>0</v>
      </c>
      <c r="K64" s="36">
        <f t="shared" si="26"/>
        <v>1</v>
      </c>
    </row>
    <row r="65" ht="12.75" customHeight="1"/>
    <row r="66" ht="12.75" customHeight="1"/>
    <row r="67" ht="12.75" customHeight="1"/>
    <row r="68" ht="12.75" customHeight="1"/>
    <row r="69" ht="12.75" customHeight="1"/>
    <row r="70" ht="12.75" customHeight="1">
      <c r="A70" s="8" t="s">
        <v>29</v>
      </c>
    </row>
    <row r="71" ht="12.75" customHeight="1">
      <c r="A71" s="8" t="s">
        <v>30</v>
      </c>
    </row>
    <row r="72" ht="12.75" customHeight="1">
      <c r="A72" s="8" t="s">
        <v>31</v>
      </c>
    </row>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sheetData>
  <printOptions/>
  <pageMargins bottom="0.7875" footer="0.0" header="0.0" left="0.7875" right="0.7875" top="0.7875"/>
  <pageSetup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13"/>
    <col customWidth="1" min="2" max="2" width="7.0"/>
    <col customWidth="1" min="3" max="6" width="5.75"/>
    <col customWidth="1" min="7" max="7" width="4.75"/>
    <col customWidth="1" min="8" max="8" width="5.75"/>
    <col customWidth="1" min="9" max="9" width="4.75"/>
    <col customWidth="1" min="10" max="14" width="5.75"/>
    <col customWidth="1" min="15" max="15" width="5.63"/>
    <col customWidth="1" min="16" max="16" width="7.75"/>
    <col customWidth="1" min="17" max="17" width="5.88"/>
    <col customWidth="1" min="18" max="18" width="7.88"/>
    <col customWidth="1" min="19" max="19" width="6.13"/>
    <col customWidth="1" min="20" max="21" width="5.75"/>
    <col customWidth="1" min="22" max="22" width="5.13"/>
    <col customWidth="1" min="23" max="23" width="6.13"/>
    <col customWidth="1" min="24" max="25" width="5.13"/>
    <col customWidth="1" min="26" max="26" width="6.13"/>
    <col customWidth="1" min="27" max="27" width="6.0"/>
    <col customWidth="1" min="28" max="28" width="1.38"/>
    <col customWidth="1" min="29" max="29" width="8.0"/>
  </cols>
  <sheetData>
    <row r="1">
      <c r="A1" s="16"/>
      <c r="B1" s="24" t="s">
        <v>32</v>
      </c>
      <c r="O1" s="24" t="s">
        <v>33</v>
      </c>
      <c r="AB1" s="18"/>
      <c r="AC1" s="18"/>
    </row>
    <row r="2">
      <c r="A2" s="22" t="s">
        <v>34</v>
      </c>
      <c r="B2" s="37" t="s">
        <v>35</v>
      </c>
      <c r="C2" s="37" t="s">
        <v>36</v>
      </c>
      <c r="D2" s="37" t="s">
        <v>37</v>
      </c>
      <c r="E2" s="37" t="s">
        <v>38</v>
      </c>
      <c r="F2" s="37" t="s">
        <v>39</v>
      </c>
      <c r="G2" s="37" t="s">
        <v>40</v>
      </c>
      <c r="H2" s="37" t="s">
        <v>41</v>
      </c>
      <c r="I2" s="37" t="s">
        <v>42</v>
      </c>
      <c r="J2" s="37" t="s">
        <v>43</v>
      </c>
      <c r="K2" s="37" t="s">
        <v>44</v>
      </c>
      <c r="L2" s="37" t="s">
        <v>45</v>
      </c>
      <c r="M2" s="37" t="s">
        <v>46</v>
      </c>
      <c r="N2" s="37" t="s">
        <v>47</v>
      </c>
      <c r="O2" s="38" t="s">
        <v>35</v>
      </c>
      <c r="P2" s="38" t="s">
        <v>36</v>
      </c>
      <c r="Q2" s="38" t="s">
        <v>37</v>
      </c>
      <c r="R2" s="38" t="s">
        <v>38</v>
      </c>
      <c r="S2" s="38" t="s">
        <v>39</v>
      </c>
      <c r="T2" s="38" t="s">
        <v>40</v>
      </c>
      <c r="U2" s="38" t="s">
        <v>41</v>
      </c>
      <c r="V2" s="38" t="s">
        <v>42</v>
      </c>
      <c r="W2" s="38" t="s">
        <v>43</v>
      </c>
      <c r="X2" s="38" t="s">
        <v>44</v>
      </c>
      <c r="Y2" s="38" t="s">
        <v>45</v>
      </c>
      <c r="Z2" s="38" t="s">
        <v>46</v>
      </c>
      <c r="AA2" s="38" t="s">
        <v>47</v>
      </c>
      <c r="AB2" s="39"/>
      <c r="AC2" s="40" t="s">
        <v>17</v>
      </c>
      <c r="AD2" s="41"/>
      <c r="AE2" s="41"/>
      <c r="AF2" s="41"/>
      <c r="AG2" s="41"/>
      <c r="AH2" s="41"/>
      <c r="AI2" s="41"/>
    </row>
    <row r="3">
      <c r="A3" s="20">
        <v>44491.0</v>
      </c>
      <c r="B3" s="16">
        <v>17.0</v>
      </c>
      <c r="C3" s="16">
        <v>63.0</v>
      </c>
      <c r="D3" s="16"/>
      <c r="E3" s="16">
        <v>46.0</v>
      </c>
      <c r="F3" s="16">
        <v>64.0</v>
      </c>
      <c r="G3" s="16">
        <v>56.0</v>
      </c>
      <c r="H3" s="16"/>
      <c r="I3" s="16">
        <v>85.0</v>
      </c>
      <c r="J3" s="16">
        <v>9.0</v>
      </c>
      <c r="K3" s="16"/>
      <c r="L3" s="16">
        <v>21.0</v>
      </c>
      <c r="M3" s="16">
        <v>10.0</v>
      </c>
      <c r="N3" s="16"/>
      <c r="O3" s="19">
        <v>66.145</v>
      </c>
      <c r="P3" s="19">
        <v>17.86</v>
      </c>
      <c r="Q3" s="19"/>
      <c r="R3" s="19">
        <v>24.275</v>
      </c>
      <c r="S3" s="19">
        <v>17.385</v>
      </c>
      <c r="T3" s="19">
        <v>19.775</v>
      </c>
      <c r="U3" s="19"/>
      <c r="V3" s="19">
        <v>13.12</v>
      </c>
      <c r="W3" s="19">
        <v>129.7</v>
      </c>
      <c r="X3" s="19"/>
      <c r="Y3" s="19">
        <v>53.185</v>
      </c>
      <c r="Z3" s="19">
        <v>108.76</v>
      </c>
      <c r="AA3" s="13"/>
      <c r="AB3" s="42"/>
      <c r="AC3" s="42">
        <f t="shared" ref="AC3:AC19" si="1">SUMPRODUCT(O3:AA3,B3:N3)</f>
        <v>10073.32</v>
      </c>
    </row>
    <row r="4">
      <c r="A4" s="20">
        <v>44498.0</v>
      </c>
      <c r="B4" s="16">
        <v>18.0</v>
      </c>
      <c r="C4" s="16">
        <v>60.0</v>
      </c>
      <c r="D4" s="16"/>
      <c r="E4" s="16">
        <v>47.0</v>
      </c>
      <c r="F4" s="16">
        <v>63.0</v>
      </c>
      <c r="G4" s="16">
        <v>55.0</v>
      </c>
      <c r="H4" s="16"/>
      <c r="I4" s="16">
        <v>85.0</v>
      </c>
      <c r="J4" s="16">
        <v>9.0</v>
      </c>
      <c r="K4" s="16"/>
      <c r="L4" s="16">
        <v>21.0</v>
      </c>
      <c r="M4" s="16">
        <v>10.0</v>
      </c>
      <c r="N4" s="16"/>
      <c r="O4" s="19">
        <v>63.4</v>
      </c>
      <c r="P4" s="19">
        <v>18.11</v>
      </c>
      <c r="Q4" s="19"/>
      <c r="R4" s="19">
        <v>22.945</v>
      </c>
      <c r="S4" s="19">
        <v>17.655</v>
      </c>
      <c r="T4" s="19">
        <v>20.195</v>
      </c>
      <c r="U4" s="19"/>
      <c r="V4" s="19">
        <v>13.105</v>
      </c>
      <c r="W4" s="19">
        <v>125.72</v>
      </c>
      <c r="X4" s="19"/>
      <c r="Y4" s="19">
        <v>52.845</v>
      </c>
      <c r="Z4" s="19">
        <v>114.37</v>
      </c>
      <c r="AA4" s="13"/>
      <c r="AB4" s="42"/>
      <c r="AC4" s="42">
        <f t="shared" si="1"/>
        <v>10028.055</v>
      </c>
    </row>
    <row r="5">
      <c r="A5" s="15">
        <v>44503.0</v>
      </c>
      <c r="B5" s="16">
        <v>17.0</v>
      </c>
      <c r="C5" s="16">
        <v>60.0</v>
      </c>
      <c r="D5" s="16"/>
      <c r="E5" s="16">
        <v>51.0</v>
      </c>
      <c r="F5" s="16">
        <v>62.0</v>
      </c>
      <c r="G5" s="16">
        <v>54.0</v>
      </c>
      <c r="H5" s="16"/>
      <c r="I5" s="16">
        <v>83.0</v>
      </c>
      <c r="J5" s="16">
        <v>8.0</v>
      </c>
      <c r="K5" s="16"/>
      <c r="L5" s="16">
        <v>21.0</v>
      </c>
      <c r="M5" s="16">
        <v>9.0</v>
      </c>
      <c r="N5" s="16"/>
      <c r="O5" s="19">
        <v>61.68</v>
      </c>
      <c r="P5" s="19">
        <v>18.09</v>
      </c>
      <c r="Q5" s="19"/>
      <c r="R5" s="19">
        <v>22.195</v>
      </c>
      <c r="S5" s="19">
        <v>17.825</v>
      </c>
      <c r="T5" s="19">
        <f>(19.575*21+33*19.575)/54</f>
        <v>19.575</v>
      </c>
      <c r="U5" s="19"/>
      <c r="V5" s="19">
        <v>13.285</v>
      </c>
      <c r="W5" s="19">
        <v>126.615</v>
      </c>
      <c r="X5" s="19"/>
      <c r="Y5" s="19">
        <v>52.855</v>
      </c>
      <c r="Z5" s="19">
        <v>117.085</v>
      </c>
      <c r="AA5" s="19"/>
      <c r="AB5" s="42"/>
      <c r="AC5" s="42">
        <f t="shared" si="1"/>
        <v>9707.4</v>
      </c>
    </row>
    <row r="6">
      <c r="A6" s="20">
        <v>44512.0</v>
      </c>
      <c r="B6" s="16">
        <v>7.0</v>
      </c>
      <c r="C6" s="16">
        <v>15.0</v>
      </c>
      <c r="D6" s="16"/>
      <c r="E6" s="16">
        <v>16.0</v>
      </c>
      <c r="F6" s="16">
        <v>25.0</v>
      </c>
      <c r="G6" s="16">
        <v>26.0</v>
      </c>
      <c r="H6" s="16"/>
      <c r="I6" s="16">
        <v>9.0</v>
      </c>
      <c r="J6" s="16">
        <v>5.0</v>
      </c>
      <c r="K6" s="16"/>
      <c r="L6" s="16">
        <v>8.0</v>
      </c>
      <c r="M6" s="16">
        <v>3.0</v>
      </c>
      <c r="N6" s="16"/>
      <c r="O6" s="19">
        <v>62.495</v>
      </c>
      <c r="P6" s="19">
        <v>18.61</v>
      </c>
      <c r="Q6" s="19"/>
      <c r="R6" s="19">
        <v>23.125</v>
      </c>
      <c r="S6" s="19">
        <v>17.185</v>
      </c>
      <c r="T6" s="19">
        <v>19.315</v>
      </c>
      <c r="U6" s="19"/>
      <c r="V6" s="19">
        <v>14.145</v>
      </c>
      <c r="W6" s="19">
        <v>119.14</v>
      </c>
      <c r="X6" s="19"/>
      <c r="Y6" s="19">
        <v>52.42</v>
      </c>
      <c r="Z6" s="19">
        <v>116.825</v>
      </c>
      <c r="AA6" s="19"/>
      <c r="AB6" s="42"/>
      <c r="AC6" s="42">
        <f t="shared" si="1"/>
        <v>3511.27</v>
      </c>
    </row>
    <row r="7">
      <c r="A7" s="15">
        <v>44868.0</v>
      </c>
      <c r="B7" s="16"/>
      <c r="C7" s="16"/>
      <c r="D7" s="16"/>
      <c r="E7" s="16"/>
      <c r="F7" s="16"/>
      <c r="G7" s="16"/>
      <c r="H7" s="16"/>
      <c r="I7" s="16"/>
      <c r="N7" s="16">
        <v>46.0</v>
      </c>
      <c r="O7" s="13"/>
      <c r="P7" s="13"/>
      <c r="Q7" s="13"/>
      <c r="R7" s="13"/>
      <c r="S7" s="13"/>
      <c r="T7" s="13"/>
      <c r="U7" s="13"/>
      <c r="V7" s="13"/>
      <c r="W7" s="13"/>
      <c r="X7" s="13"/>
      <c r="Y7" s="13"/>
      <c r="Z7" s="13"/>
      <c r="AA7" s="19">
        <v>114.7487</v>
      </c>
      <c r="AB7" s="42"/>
      <c r="AC7" s="42">
        <f t="shared" si="1"/>
        <v>5278.4402</v>
      </c>
    </row>
    <row r="8">
      <c r="A8" s="20">
        <v>44869.0</v>
      </c>
      <c r="B8" s="16">
        <v>26.0</v>
      </c>
      <c r="C8" s="16">
        <v>55.0</v>
      </c>
      <c r="D8" s="16"/>
      <c r="E8" s="16">
        <v>50.0</v>
      </c>
      <c r="F8" s="16">
        <v>120.0</v>
      </c>
      <c r="G8" s="16">
        <v>195.0</v>
      </c>
      <c r="H8" s="16"/>
      <c r="I8" s="16">
        <v>65.0</v>
      </c>
      <c r="J8" s="16">
        <v>8.0</v>
      </c>
      <c r="K8" s="16"/>
      <c r="L8" s="16">
        <v>70.0</v>
      </c>
      <c r="M8" s="16">
        <v>4.0</v>
      </c>
      <c r="N8" s="16">
        <v>1.0</v>
      </c>
      <c r="O8" s="19">
        <v>57.79154</v>
      </c>
      <c r="P8" s="19">
        <v>20.4</v>
      </c>
      <c r="Q8" s="19"/>
      <c r="R8" s="19">
        <v>24.85</v>
      </c>
      <c r="S8" s="19">
        <v>14.765</v>
      </c>
      <c r="T8" s="19">
        <v>14.405</v>
      </c>
      <c r="U8" s="19"/>
      <c r="V8" s="19">
        <v>15.645</v>
      </c>
      <c r="W8" s="19">
        <v>136.385</v>
      </c>
      <c r="X8" s="19"/>
      <c r="Y8" s="19">
        <v>36.985</v>
      </c>
      <c r="Z8" s="19">
        <v>143.93</v>
      </c>
      <c r="AA8" s="19">
        <v>111.075</v>
      </c>
      <c r="AB8" s="42"/>
      <c r="AC8" s="42">
        <f t="shared" si="1"/>
        <v>13831.60504</v>
      </c>
    </row>
    <row r="9">
      <c r="A9" s="43">
        <v>44911.0</v>
      </c>
      <c r="B9" s="44"/>
      <c r="C9" s="44"/>
      <c r="D9" s="44"/>
      <c r="E9" s="44">
        <v>-214.0</v>
      </c>
      <c r="F9" s="44"/>
      <c r="G9" s="44"/>
      <c r="H9" s="44"/>
      <c r="I9" s="44"/>
      <c r="J9" s="45"/>
      <c r="K9" s="44"/>
      <c r="L9" s="44"/>
      <c r="M9" s="45"/>
      <c r="N9" s="45"/>
      <c r="O9" s="46"/>
      <c r="P9" s="46"/>
      <c r="Q9" s="47"/>
      <c r="R9" s="47">
        <v>23.55233645</v>
      </c>
      <c r="S9" s="46"/>
      <c r="T9" s="46"/>
      <c r="U9" s="46"/>
      <c r="V9" s="46"/>
      <c r="W9" s="46"/>
      <c r="X9" s="46"/>
      <c r="Y9" s="46"/>
      <c r="Z9" s="46"/>
      <c r="AA9" s="46"/>
      <c r="AB9" s="42"/>
      <c r="AC9" s="42">
        <f t="shared" si="1"/>
        <v>-5040.2</v>
      </c>
      <c r="AD9" s="45"/>
      <c r="AE9" s="45"/>
      <c r="AF9" s="45"/>
      <c r="AG9" s="45"/>
      <c r="AH9" s="45"/>
      <c r="AI9" s="45"/>
    </row>
    <row r="10">
      <c r="A10" s="15">
        <v>44978.0</v>
      </c>
      <c r="B10" s="16"/>
      <c r="C10" s="48">
        <v>57.0</v>
      </c>
      <c r="D10" s="34"/>
      <c r="E10" s="34"/>
      <c r="F10" s="48">
        <v>21.0</v>
      </c>
      <c r="G10" s="34"/>
      <c r="H10" s="48"/>
      <c r="I10" s="48">
        <v>55.0</v>
      </c>
      <c r="J10" s="48">
        <v>6.0</v>
      </c>
      <c r="K10" s="48"/>
      <c r="L10" s="48">
        <v>9.0</v>
      </c>
      <c r="M10" s="48">
        <v>3.0</v>
      </c>
      <c r="N10" s="48">
        <v>25.0</v>
      </c>
      <c r="O10" s="13"/>
      <c r="P10" s="19">
        <v>18.66</v>
      </c>
      <c r="Q10" s="13"/>
      <c r="R10" s="13"/>
      <c r="S10" s="19">
        <v>15.635</v>
      </c>
      <c r="T10" s="13"/>
      <c r="U10" s="19"/>
      <c r="V10" s="19">
        <v>15.035</v>
      </c>
      <c r="W10" s="19">
        <v>131.91</v>
      </c>
      <c r="X10" s="19"/>
      <c r="Y10" s="19">
        <v>39.22</v>
      </c>
      <c r="Z10" s="19">
        <v>151.86</v>
      </c>
      <c r="AA10" s="19">
        <v>83.61</v>
      </c>
      <c r="AB10" s="42"/>
      <c r="AC10" s="42">
        <f t="shared" si="1"/>
        <v>5909.15</v>
      </c>
    </row>
    <row r="11">
      <c r="A11" s="20">
        <v>44929.0</v>
      </c>
      <c r="B11" s="16"/>
      <c r="C11" s="16">
        <v>24.0</v>
      </c>
      <c r="D11" s="16"/>
      <c r="E11" s="16"/>
      <c r="F11" s="16">
        <v>9.0</v>
      </c>
      <c r="G11" s="16"/>
      <c r="H11" s="16"/>
      <c r="I11" s="16"/>
      <c r="J11" s="16">
        <v>2.0</v>
      </c>
      <c r="K11" s="16"/>
      <c r="L11" s="16">
        <v>5.0</v>
      </c>
      <c r="O11" s="13"/>
      <c r="P11" s="19">
        <v>17.28</v>
      </c>
      <c r="Q11" s="13"/>
      <c r="R11" s="13"/>
      <c r="S11" s="19">
        <v>15.265</v>
      </c>
      <c r="T11" s="13"/>
      <c r="U11" s="13"/>
      <c r="V11" s="13"/>
      <c r="W11" s="19">
        <v>128.0</v>
      </c>
      <c r="X11" s="19"/>
      <c r="Y11" s="19">
        <v>38.275</v>
      </c>
      <c r="Z11" s="13"/>
      <c r="AA11" s="13"/>
      <c r="AB11" s="42"/>
      <c r="AC11" s="42">
        <f t="shared" si="1"/>
        <v>999.48</v>
      </c>
    </row>
    <row r="12">
      <c r="A12" s="15">
        <v>45009.0</v>
      </c>
      <c r="B12" s="16"/>
      <c r="C12" s="16"/>
      <c r="D12" s="16"/>
      <c r="E12" s="16"/>
      <c r="F12" s="16"/>
      <c r="G12" s="16">
        <v>45.0</v>
      </c>
      <c r="H12" s="16"/>
      <c r="I12" s="16"/>
      <c r="K12" s="16"/>
      <c r="L12" s="16"/>
      <c r="O12" s="13"/>
      <c r="P12" s="13"/>
      <c r="Q12" s="13"/>
      <c r="R12" s="13"/>
      <c r="S12" s="13"/>
      <c r="T12" s="19">
        <v>11.135</v>
      </c>
      <c r="U12" s="13"/>
      <c r="V12" s="13"/>
      <c r="W12" s="13"/>
      <c r="X12" s="13"/>
      <c r="Y12" s="13"/>
      <c r="Z12" s="13"/>
      <c r="AA12" s="13"/>
      <c r="AB12" s="42"/>
      <c r="AC12" s="42">
        <f t="shared" si="1"/>
        <v>501.075</v>
      </c>
    </row>
    <row r="13">
      <c r="A13" s="15">
        <v>45320.0</v>
      </c>
      <c r="B13" s="16">
        <v>6.0</v>
      </c>
      <c r="C13" s="16">
        <v>60.0</v>
      </c>
      <c r="D13" s="16"/>
      <c r="E13" s="16"/>
      <c r="F13" s="16"/>
      <c r="G13" s="16">
        <v>12.0</v>
      </c>
      <c r="H13" s="16"/>
      <c r="I13" s="16">
        <v>-45.0</v>
      </c>
      <c r="J13" s="16">
        <v>-8.0</v>
      </c>
      <c r="K13" s="16"/>
      <c r="L13" s="16">
        <v>10.0</v>
      </c>
      <c r="M13" s="16">
        <v>5.0</v>
      </c>
      <c r="O13" s="19">
        <v>70.825</v>
      </c>
      <c r="P13" s="19">
        <v>16.88</v>
      </c>
      <c r="Q13" s="13"/>
      <c r="R13" s="13"/>
      <c r="S13" s="19">
        <v>17.61</v>
      </c>
      <c r="T13" s="19">
        <v>14.265</v>
      </c>
      <c r="U13" s="19"/>
      <c r="V13" s="19">
        <v>19.65</v>
      </c>
      <c r="W13" s="19">
        <v>186.32</v>
      </c>
      <c r="X13" s="19"/>
      <c r="Y13" s="19">
        <v>41.86</v>
      </c>
      <c r="Z13" s="19">
        <v>164.59</v>
      </c>
      <c r="AA13" s="19">
        <v>96.16</v>
      </c>
      <c r="AB13" s="42"/>
      <c r="AC13" s="42">
        <f t="shared" si="1"/>
        <v>475.67</v>
      </c>
    </row>
    <row r="14">
      <c r="A14" s="15">
        <v>45371.0</v>
      </c>
      <c r="B14" s="16">
        <v>14.0</v>
      </c>
      <c r="C14" s="16">
        <v>7.0</v>
      </c>
      <c r="D14" s="16"/>
      <c r="E14" s="16"/>
      <c r="F14" s="16">
        <v>-39.0</v>
      </c>
      <c r="G14" s="16"/>
      <c r="H14" s="16"/>
      <c r="I14" s="16">
        <v>-17.0</v>
      </c>
      <c r="J14" s="16">
        <v>-1.0</v>
      </c>
      <c r="K14" s="16"/>
      <c r="L14" s="16">
        <v>8.0</v>
      </c>
      <c r="M14" s="16">
        <v>-3.0</v>
      </c>
      <c r="O14" s="19">
        <v>63.31</v>
      </c>
      <c r="P14" s="19">
        <v>16.69</v>
      </c>
      <c r="Q14" s="13"/>
      <c r="R14" s="13"/>
      <c r="S14" s="19">
        <v>18.215</v>
      </c>
      <c r="T14" s="13"/>
      <c r="U14" s="19"/>
      <c r="V14" s="19">
        <v>20.765</v>
      </c>
      <c r="W14" s="19">
        <v>192.495</v>
      </c>
      <c r="X14" s="19"/>
      <c r="Y14" s="19">
        <v>39.865</v>
      </c>
      <c r="Z14" s="19">
        <v>176.58</v>
      </c>
      <c r="AA14" s="13"/>
      <c r="AB14" s="42"/>
      <c r="AC14" s="42">
        <f t="shared" si="1"/>
        <v>-463.535</v>
      </c>
    </row>
    <row r="15">
      <c r="A15" s="15">
        <v>45712.0</v>
      </c>
      <c r="B15" s="16"/>
      <c r="C15" s="16"/>
      <c r="D15" s="16"/>
      <c r="E15" s="16"/>
      <c r="F15" s="16">
        <v>-37.0</v>
      </c>
      <c r="G15" s="16"/>
      <c r="H15" s="16"/>
      <c r="I15" s="16">
        <v>-374.0</v>
      </c>
      <c r="J15" s="16">
        <v>-7.0</v>
      </c>
      <c r="K15" s="16"/>
      <c r="L15" s="16"/>
      <c r="M15" s="16">
        <v>-1.0</v>
      </c>
      <c r="O15" s="13"/>
      <c r="P15" s="13"/>
      <c r="Q15" s="13"/>
      <c r="R15" s="13"/>
      <c r="S15" s="19">
        <v>21.44</v>
      </c>
      <c r="T15" s="13"/>
      <c r="U15" s="19"/>
      <c r="V15" s="19">
        <v>25.3</v>
      </c>
      <c r="W15" s="19">
        <v>262.5</v>
      </c>
      <c r="X15" s="13"/>
      <c r="Y15" s="13"/>
      <c r="Z15" s="19">
        <v>203.94</v>
      </c>
      <c r="AA15" s="13"/>
      <c r="AB15" s="42"/>
      <c r="AC15" s="42">
        <f t="shared" si="1"/>
        <v>-12296.92</v>
      </c>
    </row>
    <row r="16">
      <c r="A16" s="15">
        <v>45884.0</v>
      </c>
      <c r="B16" s="16"/>
      <c r="C16" s="16"/>
      <c r="D16" s="16"/>
      <c r="E16" s="16"/>
      <c r="F16" s="16"/>
      <c r="G16" s="16">
        <v>-600.0</v>
      </c>
      <c r="H16" s="16"/>
      <c r="I16" s="16"/>
      <c r="K16" s="16"/>
      <c r="L16" s="16"/>
      <c r="O16" s="13"/>
      <c r="P16" s="13"/>
      <c r="Q16" s="13"/>
      <c r="R16" s="13"/>
      <c r="S16" s="13"/>
      <c r="T16" s="19">
        <v>11.0</v>
      </c>
      <c r="U16" s="13"/>
      <c r="V16" s="13"/>
      <c r="W16" s="13"/>
      <c r="X16" s="13"/>
      <c r="Y16" s="13"/>
      <c r="Z16" s="13"/>
      <c r="AA16" s="13"/>
      <c r="AB16" s="42"/>
      <c r="AC16" s="42">
        <f t="shared" si="1"/>
        <v>-6600</v>
      </c>
    </row>
    <row r="17">
      <c r="A17" s="15">
        <v>45887.0</v>
      </c>
      <c r="B17" s="16"/>
      <c r="C17" s="16"/>
      <c r="D17" s="16"/>
      <c r="E17" s="16"/>
      <c r="F17" s="16"/>
      <c r="G17" s="16"/>
      <c r="H17" s="16">
        <v>300.0</v>
      </c>
      <c r="I17" s="16"/>
      <c r="K17" s="16"/>
      <c r="L17" s="16"/>
      <c r="O17" s="13"/>
      <c r="P17" s="13"/>
      <c r="Q17" s="13"/>
      <c r="R17" s="13"/>
      <c r="S17" s="13"/>
      <c r="T17" s="13"/>
      <c r="U17" s="19">
        <v>22.365</v>
      </c>
      <c r="V17" s="13"/>
      <c r="W17" s="13"/>
      <c r="X17" s="13"/>
      <c r="Y17" s="13"/>
      <c r="Z17" s="13"/>
      <c r="AA17" s="13"/>
      <c r="AB17" s="42"/>
      <c r="AC17" s="42">
        <f t="shared" si="1"/>
        <v>6709.5</v>
      </c>
    </row>
    <row r="18">
      <c r="A18" s="15">
        <v>45888.0</v>
      </c>
      <c r="B18" s="16"/>
      <c r="C18" s="16">
        <v>-484.0</v>
      </c>
      <c r="D18" s="16">
        <v>564.0</v>
      </c>
      <c r="E18" s="16"/>
      <c r="F18" s="16"/>
      <c r="G18" s="16">
        <v>-52.0</v>
      </c>
      <c r="H18" s="16"/>
      <c r="I18" s="16"/>
      <c r="J18" s="16"/>
      <c r="K18" s="16"/>
      <c r="L18" s="16"/>
      <c r="M18" s="16"/>
      <c r="N18" s="16"/>
      <c r="O18" s="13"/>
      <c r="P18" s="19">
        <v>16.56863</v>
      </c>
      <c r="Q18" s="19">
        <v>14.165</v>
      </c>
      <c r="R18" s="13"/>
      <c r="S18" s="13"/>
      <c r="T18" s="19">
        <v>11.43</v>
      </c>
      <c r="U18" s="13"/>
      <c r="V18" s="13"/>
      <c r="W18" s="13"/>
      <c r="X18" s="13"/>
      <c r="Y18" s="13"/>
      <c r="Z18" s="13"/>
      <c r="AA18" s="13"/>
      <c r="AB18" s="42"/>
      <c r="AC18" s="42">
        <f t="shared" si="1"/>
        <v>-624.51692</v>
      </c>
    </row>
    <row r="19">
      <c r="A19" s="15">
        <v>45894.0</v>
      </c>
      <c r="B19" s="16"/>
      <c r="C19" s="16"/>
      <c r="D19" s="16"/>
      <c r="E19" s="16"/>
      <c r="F19" s="16"/>
      <c r="G19" s="16"/>
      <c r="H19" s="16"/>
      <c r="I19" s="16"/>
      <c r="J19" s="16">
        <v>-32.4964</v>
      </c>
      <c r="K19" s="16">
        <v>100.0</v>
      </c>
      <c r="L19" s="16"/>
      <c r="M19" s="16"/>
      <c r="N19" s="16"/>
      <c r="O19" s="13"/>
      <c r="P19" s="13"/>
      <c r="Q19" s="13"/>
      <c r="R19" s="13"/>
      <c r="S19" s="13"/>
      <c r="T19" s="13"/>
      <c r="U19" s="13"/>
      <c r="V19" s="13"/>
      <c r="W19" s="19">
        <v>240.54753</v>
      </c>
      <c r="X19" s="19">
        <v>71.04</v>
      </c>
      <c r="Y19" s="13"/>
      <c r="Z19" s="13"/>
      <c r="AA19" s="13"/>
      <c r="AB19" s="49"/>
      <c r="AC19" s="42">
        <f t="shared" si="1"/>
        <v>-712.9287539</v>
      </c>
    </row>
    <row r="20">
      <c r="A20" s="16"/>
      <c r="B20" s="16"/>
      <c r="C20" s="16"/>
      <c r="D20" s="16"/>
      <c r="E20" s="16"/>
      <c r="F20" s="16"/>
      <c r="G20" s="16"/>
      <c r="H20" s="16"/>
      <c r="I20" s="16"/>
      <c r="J20" s="16"/>
      <c r="K20" s="16"/>
      <c r="L20" s="16"/>
      <c r="M20" s="16"/>
      <c r="N20" s="16"/>
      <c r="O20" s="13"/>
      <c r="P20" s="13"/>
      <c r="Q20" s="13"/>
      <c r="R20" s="13"/>
      <c r="S20" s="13"/>
      <c r="T20" s="13"/>
      <c r="U20" s="13"/>
      <c r="V20" s="13"/>
      <c r="W20" s="13"/>
      <c r="X20" s="13"/>
      <c r="Y20" s="13"/>
      <c r="Z20" s="13"/>
      <c r="AA20" s="13"/>
      <c r="AB20" s="49"/>
      <c r="AC20" s="49"/>
    </row>
    <row r="21">
      <c r="A21" s="16" t="s">
        <v>15</v>
      </c>
      <c r="B21" s="16">
        <f>17+5</f>
        <v>22</v>
      </c>
      <c r="C21" s="16">
        <f>66+8+9</f>
        <v>83</v>
      </c>
      <c r="D21" s="16"/>
      <c r="E21" s="16">
        <v>4.0</v>
      </c>
      <c r="F21" s="16">
        <f>103+17</f>
        <v>120</v>
      </c>
      <c r="G21" s="16">
        <f>173+19+17</f>
        <v>209</v>
      </c>
      <c r="H21" s="16"/>
      <c r="I21" s="16">
        <v>54.0</v>
      </c>
      <c r="J21" s="16">
        <v>1.4964</v>
      </c>
      <c r="K21" s="16"/>
      <c r="L21" s="16">
        <f>20+3+3</f>
        <v>26</v>
      </c>
      <c r="M21" s="16">
        <v>1.0</v>
      </c>
      <c r="N21" s="16">
        <f>9+2+3</f>
        <v>14</v>
      </c>
      <c r="O21" s="13"/>
      <c r="P21" s="13"/>
      <c r="Q21" s="13"/>
      <c r="R21" s="13"/>
      <c r="S21" s="13"/>
      <c r="T21" s="13"/>
      <c r="U21" s="13"/>
      <c r="V21" s="13"/>
      <c r="W21" s="13"/>
      <c r="X21" s="13"/>
      <c r="Y21" s="13"/>
      <c r="Z21" s="13"/>
      <c r="AA21" s="13"/>
      <c r="AB21" s="49"/>
      <c r="AC21" s="49"/>
    </row>
    <row r="22">
      <c r="N22" s="16"/>
      <c r="AB22" s="18"/>
      <c r="AC22" s="18"/>
    </row>
    <row r="23">
      <c r="AB23" s="18"/>
      <c r="AC23" s="18"/>
    </row>
    <row r="24">
      <c r="B24" s="16"/>
      <c r="C24" s="16"/>
      <c r="D24" s="16"/>
      <c r="E24" s="16"/>
      <c r="F24" s="16"/>
      <c r="G24" s="16"/>
      <c r="H24" s="16"/>
      <c r="I24" s="16"/>
      <c r="K24" s="16"/>
      <c r="L24" s="16"/>
      <c r="AB24" s="18"/>
      <c r="AC24" s="18"/>
    </row>
    <row r="25">
      <c r="AB25" s="18"/>
      <c r="AC25" s="18"/>
    </row>
    <row r="26">
      <c r="A26" s="22" t="s">
        <v>32</v>
      </c>
      <c r="B26" s="8">
        <f t="shared" ref="B26:N26" si="2">sum(B3:B25)</f>
        <v>127</v>
      </c>
      <c r="C26" s="8">
        <f t="shared" si="2"/>
        <v>0</v>
      </c>
      <c r="D26" s="8">
        <f t="shared" si="2"/>
        <v>564</v>
      </c>
      <c r="E26" s="8">
        <f t="shared" si="2"/>
        <v>0</v>
      </c>
      <c r="F26" s="8">
        <f t="shared" si="2"/>
        <v>408</v>
      </c>
      <c r="G26" s="8">
        <f t="shared" si="2"/>
        <v>0</v>
      </c>
      <c r="H26" s="8">
        <f t="shared" si="2"/>
        <v>300</v>
      </c>
      <c r="I26" s="8">
        <f t="shared" si="2"/>
        <v>0</v>
      </c>
      <c r="J26" s="8">
        <f t="shared" si="2"/>
        <v>0</v>
      </c>
      <c r="K26" s="8">
        <f t="shared" si="2"/>
        <v>100</v>
      </c>
      <c r="L26" s="8">
        <f t="shared" si="2"/>
        <v>199</v>
      </c>
      <c r="M26" s="8">
        <f t="shared" si="2"/>
        <v>41</v>
      </c>
      <c r="N26" s="8">
        <f t="shared" si="2"/>
        <v>86</v>
      </c>
      <c r="P26" s="50" t="s">
        <v>48</v>
      </c>
      <c r="Q26" s="50"/>
      <c r="R26" s="50" t="s">
        <v>49</v>
      </c>
      <c r="S26" s="50" t="s">
        <v>50</v>
      </c>
      <c r="T26" s="50" t="s">
        <v>51</v>
      </c>
      <c r="AB26" s="18"/>
      <c r="AC26" s="18"/>
    </row>
    <row r="27">
      <c r="B27" s="8">
        <f>IFERROR(__xludf.DUMMYFUNCTION("B26*GOOGLEFINANCE(B2, ""price"")"),9137.65)</f>
        <v>9137.65</v>
      </c>
      <c r="C27" s="18">
        <f>IFERROR(__xludf.DUMMYFUNCTION("C26*GOOGLEFINANCE(C2, ""price"")"),0.0)</f>
        <v>0</v>
      </c>
      <c r="D27" s="18">
        <f>IFERROR(__xludf.DUMMYFUNCTION("D26*GOOGLEFINANCE(D2, ""price"")"),7427.88)</f>
        <v>7427.88</v>
      </c>
      <c r="E27" s="18">
        <f>IFERROR(__xludf.DUMMYFUNCTION("E26*GOOGLEFINANCE(E2, ""price"")"),0.0)</f>
        <v>0</v>
      </c>
      <c r="F27" s="18">
        <f>IFERROR(__xludf.DUMMYFUNCTION("F26*GOOGLEFINANCE(F2, ""price"")"),7344.0)</f>
        <v>7344</v>
      </c>
      <c r="G27" s="18">
        <f>IFERROR(__xludf.DUMMYFUNCTION("G26*GOOGLEFINANCE(G2, ""price"")"),0.0)</f>
        <v>0</v>
      </c>
      <c r="H27" s="18">
        <f>IFERROR(__xludf.DUMMYFUNCTION("H26*GOOGLEFINANCE(H2, ""price"")"),6186.0)</f>
        <v>6186</v>
      </c>
      <c r="I27" s="18">
        <f>IFERROR(__xludf.DUMMYFUNCTION("I26*GOOGLEFINANCE(I2, ""price"")"),0.0)</f>
        <v>0</v>
      </c>
      <c r="J27" s="18">
        <f>IFERROR(__xludf.DUMMYFUNCTION("J26*GOOGLEFINANCE(J2, ""price"")"),-4.1111114512659697E-13)</f>
        <v>0</v>
      </c>
      <c r="K27" s="18">
        <f>IFERROR(__xludf.DUMMYFUNCTION("K26*GOOGLEFINANCE(K2, ""price"")"),8036.0)</f>
        <v>8036</v>
      </c>
      <c r="L27" s="18">
        <f>IFERROR(__xludf.DUMMYFUNCTION("L26*GOOGLEFINANCE(L2, ""price"")"),8180.89)</f>
        <v>8180.89</v>
      </c>
      <c r="M27" s="18">
        <f>IFERROR(__xludf.DUMMYFUNCTION("M26*GOOGLEFINANCE(M2, ""price"")"),9335.699999999999)</f>
        <v>9335.7</v>
      </c>
      <c r="N27" s="18">
        <f>IFERROR(__xludf.DUMMYFUNCTION("N26*GOOGLEFINANCE(N2, ""price"")"),4252.7)</f>
        <v>4252.7</v>
      </c>
      <c r="P27" s="18">
        <f>sum(AC3:AC25)+722</f>
        <v>42008.86457</v>
      </c>
      <c r="Q27" s="18"/>
      <c r="R27" s="18">
        <f>SUM(B27:N27)</f>
        <v>59900.82</v>
      </c>
      <c r="S27" s="18">
        <f>R27-P27</f>
        <v>17891.95543</v>
      </c>
      <c r="T27" s="51">
        <f>((R27/P27)^(1/YEARFRAC(A3, today()))) - 1</f>
        <v>0.09026611521</v>
      </c>
      <c r="AB27" s="18"/>
      <c r="AC27" s="18"/>
    </row>
    <row r="28">
      <c r="A28" s="16" t="s">
        <v>52</v>
      </c>
      <c r="B28" s="52">
        <f t="shared" ref="B28:N28" si="3">B27/$R$27</f>
        <v>0.1525463257</v>
      </c>
      <c r="C28" s="52">
        <f t="shared" si="3"/>
        <v>0</v>
      </c>
      <c r="D28" s="52">
        <f t="shared" si="3"/>
        <v>0.1240029769</v>
      </c>
      <c r="E28" s="52">
        <f t="shared" si="3"/>
        <v>0</v>
      </c>
      <c r="F28" s="52">
        <f t="shared" si="3"/>
        <v>0.1226026622</v>
      </c>
      <c r="G28" s="52">
        <f t="shared" si="3"/>
        <v>0</v>
      </c>
      <c r="H28" s="52">
        <f t="shared" si="3"/>
        <v>0.1032707065</v>
      </c>
      <c r="I28" s="52">
        <f t="shared" si="3"/>
        <v>0</v>
      </c>
      <c r="J28" s="52">
        <f t="shared" si="3"/>
        <v>0</v>
      </c>
      <c r="K28" s="52">
        <f t="shared" si="3"/>
        <v>0.1341550917</v>
      </c>
      <c r="L28" s="52">
        <f t="shared" si="3"/>
        <v>0.1365739234</v>
      </c>
      <c r="M28" s="52">
        <f t="shared" si="3"/>
        <v>0.1558526244</v>
      </c>
      <c r="N28" s="52">
        <f t="shared" si="3"/>
        <v>0.07099568921</v>
      </c>
      <c r="O28" s="52"/>
      <c r="AB28" s="18"/>
      <c r="AC28" s="18"/>
    </row>
    <row r="29">
      <c r="A29" s="16" t="s">
        <v>53</v>
      </c>
      <c r="B29" s="52">
        <f>100%/(count(B26:N26)-1)</f>
        <v>0.08333333333</v>
      </c>
      <c r="C29" s="52">
        <f t="shared" ref="C29:D29" si="4">B29</f>
        <v>0.08333333333</v>
      </c>
      <c r="D29" s="52">
        <f t="shared" si="4"/>
        <v>0.08333333333</v>
      </c>
      <c r="E29" s="52">
        <f>C29</f>
        <v>0.08333333333</v>
      </c>
      <c r="F29" s="52">
        <f>E29</f>
        <v>0.08333333333</v>
      </c>
      <c r="G29" s="53">
        <v>0.0</v>
      </c>
      <c r="H29" s="53">
        <v>0.1</v>
      </c>
      <c r="I29" s="53">
        <v>0.0</v>
      </c>
      <c r="J29" s="53">
        <v>0.1</v>
      </c>
      <c r="K29" s="53">
        <v>0.1</v>
      </c>
      <c r="L29" s="52">
        <f>J29</f>
        <v>0.1</v>
      </c>
      <c r="M29" s="52">
        <f t="shared" ref="M29:N29" si="5">L29</f>
        <v>0.1</v>
      </c>
      <c r="N29" s="52">
        <f t="shared" si="5"/>
        <v>0.1</v>
      </c>
      <c r="AB29" s="18"/>
      <c r="AC29" s="18"/>
    </row>
    <row r="30">
      <c r="AB30" s="18"/>
      <c r="AC30" s="18"/>
    </row>
    <row r="31">
      <c r="B31" s="34">
        <f t="shared" ref="B31:J31" si="6">$O$31*B29</f>
        <v>4490.833333</v>
      </c>
      <c r="C31" s="34">
        <f t="shared" si="6"/>
        <v>4490.833333</v>
      </c>
      <c r="D31" s="34">
        <f t="shared" si="6"/>
        <v>4490.833333</v>
      </c>
      <c r="E31" s="34">
        <f t="shared" si="6"/>
        <v>4490.833333</v>
      </c>
      <c r="F31" s="34">
        <f t="shared" si="6"/>
        <v>4490.833333</v>
      </c>
      <c r="G31" s="34">
        <f t="shared" si="6"/>
        <v>0</v>
      </c>
      <c r="H31" s="34">
        <f t="shared" si="6"/>
        <v>5389</v>
      </c>
      <c r="I31" s="34">
        <f t="shared" si="6"/>
        <v>0</v>
      </c>
      <c r="J31" s="34">
        <f t="shared" si="6"/>
        <v>5389</v>
      </c>
      <c r="K31" s="34"/>
      <c r="L31" s="34">
        <f t="shared" ref="L31:N31" si="7">$O$31*L29</f>
        <v>5389</v>
      </c>
      <c r="M31" s="34">
        <f t="shared" si="7"/>
        <v>5389</v>
      </c>
      <c r="N31" s="34">
        <f t="shared" si="7"/>
        <v>5389</v>
      </c>
      <c r="O31" s="16">
        <v>53890.0</v>
      </c>
      <c r="AB31" s="18"/>
      <c r="AC31" s="18"/>
    </row>
    <row r="32">
      <c r="B32" s="34">
        <f t="shared" ref="B32:J32" si="8">B31-B27</f>
        <v>-4646.816667</v>
      </c>
      <c r="C32" s="34">
        <f t="shared" si="8"/>
        <v>4490.833333</v>
      </c>
      <c r="D32" s="34">
        <f t="shared" si="8"/>
        <v>-2937.046667</v>
      </c>
      <c r="E32" s="34">
        <f t="shared" si="8"/>
        <v>4490.833333</v>
      </c>
      <c r="F32" s="34">
        <f t="shared" si="8"/>
        <v>-2853.166667</v>
      </c>
      <c r="G32" s="34">
        <f t="shared" si="8"/>
        <v>0</v>
      </c>
      <c r="H32" s="34">
        <f t="shared" si="8"/>
        <v>-797</v>
      </c>
      <c r="I32" s="34">
        <f t="shared" si="8"/>
        <v>0</v>
      </c>
      <c r="J32" s="34">
        <f t="shared" si="8"/>
        <v>5389</v>
      </c>
      <c r="L32" s="34">
        <f t="shared" ref="L32:N32" si="9">L31-L27</f>
        <v>-2791.89</v>
      </c>
      <c r="M32" s="34">
        <f t="shared" si="9"/>
        <v>-3946.7</v>
      </c>
      <c r="N32" s="34">
        <f t="shared" si="9"/>
        <v>1136.3</v>
      </c>
      <c r="AB32" s="18"/>
      <c r="AC32" s="18"/>
    </row>
    <row r="33">
      <c r="AB33" s="18"/>
      <c r="AC33" s="18"/>
    </row>
    <row r="34">
      <c r="AB34" s="18"/>
      <c r="AC34" s="18"/>
    </row>
    <row r="35">
      <c r="AB35" s="18"/>
      <c r="AC35" s="18"/>
    </row>
    <row r="36">
      <c r="AB36" s="18"/>
      <c r="AC36" s="18"/>
    </row>
    <row r="37">
      <c r="AB37" s="18"/>
      <c r="AC37" s="18"/>
    </row>
    <row r="38">
      <c r="AB38" s="18"/>
      <c r="AC38" s="18"/>
    </row>
    <row r="39">
      <c r="AB39" s="18"/>
      <c r="AC39" s="18"/>
    </row>
    <row r="40">
      <c r="AB40" s="18"/>
      <c r="AC40" s="18"/>
    </row>
    <row r="41">
      <c r="AB41" s="18"/>
      <c r="AC41" s="18"/>
    </row>
    <row r="42">
      <c r="AB42" s="18"/>
      <c r="AC42" s="18"/>
    </row>
    <row r="43">
      <c r="AB43" s="18"/>
      <c r="AC43" s="18"/>
    </row>
    <row r="44">
      <c r="AB44" s="18"/>
      <c r="AC44" s="18"/>
    </row>
    <row r="45">
      <c r="AB45" s="18"/>
      <c r="AC45" s="18"/>
    </row>
    <row r="46">
      <c r="AB46" s="18"/>
      <c r="AC46" s="18"/>
    </row>
    <row r="47">
      <c r="AB47" s="18"/>
      <c r="AC47" s="18"/>
    </row>
    <row r="48">
      <c r="AB48" s="18"/>
      <c r="AC48" s="18"/>
    </row>
    <row r="49">
      <c r="AB49" s="18"/>
      <c r="AC49" s="18"/>
    </row>
    <row r="50">
      <c r="AB50" s="18"/>
      <c r="AC50" s="18"/>
    </row>
    <row r="51">
      <c r="AB51" s="18"/>
      <c r="AC51" s="18"/>
    </row>
    <row r="52">
      <c r="AB52" s="18"/>
      <c r="AC52" s="18"/>
    </row>
    <row r="53">
      <c r="AB53" s="18"/>
      <c r="AC53" s="18"/>
    </row>
    <row r="54">
      <c r="AB54" s="18"/>
      <c r="AC54" s="18"/>
    </row>
    <row r="55">
      <c r="AB55" s="18"/>
      <c r="AC55" s="18"/>
    </row>
    <row r="56">
      <c r="AB56" s="18"/>
      <c r="AC56" s="18"/>
    </row>
    <row r="57">
      <c r="AB57" s="18"/>
      <c r="AC57" s="18"/>
    </row>
    <row r="58">
      <c r="AB58" s="18"/>
      <c r="AC58" s="18"/>
    </row>
    <row r="59">
      <c r="AB59" s="18"/>
      <c r="AC59" s="18"/>
    </row>
    <row r="60">
      <c r="AB60" s="18"/>
      <c r="AC60" s="18"/>
    </row>
    <row r="61">
      <c r="AB61" s="18"/>
      <c r="AC61" s="18"/>
    </row>
    <row r="62">
      <c r="AB62" s="18"/>
      <c r="AC62" s="18"/>
    </row>
    <row r="63">
      <c r="AB63" s="18"/>
      <c r="AC63" s="18"/>
    </row>
    <row r="64">
      <c r="AB64" s="18"/>
      <c r="AC64" s="18"/>
    </row>
    <row r="65">
      <c r="AB65" s="18"/>
      <c r="AC65" s="18"/>
    </row>
    <row r="66">
      <c r="AB66" s="18"/>
      <c r="AC66" s="18"/>
    </row>
    <row r="67">
      <c r="AB67" s="18"/>
      <c r="AC67" s="18"/>
    </row>
    <row r="68">
      <c r="AB68" s="18"/>
      <c r="AC68" s="18"/>
    </row>
    <row r="69">
      <c r="AB69" s="18"/>
      <c r="AC69" s="18"/>
    </row>
    <row r="70">
      <c r="AB70" s="18"/>
      <c r="AC70" s="18"/>
    </row>
    <row r="71">
      <c r="AB71" s="18"/>
      <c r="AC71" s="18"/>
    </row>
    <row r="72">
      <c r="AB72" s="18"/>
      <c r="AC72" s="18"/>
    </row>
    <row r="73">
      <c r="AB73" s="18"/>
      <c r="AC73" s="18"/>
    </row>
    <row r="74">
      <c r="AB74" s="18"/>
      <c r="AC74" s="18"/>
    </row>
    <row r="75">
      <c r="AB75" s="18"/>
      <c r="AC75" s="18"/>
    </row>
    <row r="76">
      <c r="AB76" s="18"/>
      <c r="AC76" s="18"/>
    </row>
    <row r="77">
      <c r="AB77" s="18"/>
      <c r="AC77" s="18"/>
    </row>
    <row r="78">
      <c r="AB78" s="18"/>
      <c r="AC78" s="18"/>
    </row>
    <row r="79">
      <c r="AB79" s="18"/>
      <c r="AC79" s="18"/>
    </row>
    <row r="80">
      <c r="AB80" s="18"/>
      <c r="AC80" s="18"/>
    </row>
    <row r="81">
      <c r="AB81" s="18"/>
      <c r="AC81" s="18"/>
    </row>
    <row r="82">
      <c r="AB82" s="18"/>
      <c r="AC82" s="18"/>
    </row>
    <row r="83">
      <c r="AB83" s="18"/>
      <c r="AC83" s="18"/>
    </row>
    <row r="84">
      <c r="AB84" s="18"/>
      <c r="AC84" s="18"/>
    </row>
    <row r="85">
      <c r="AB85" s="18"/>
      <c r="AC85" s="18"/>
    </row>
    <row r="86">
      <c r="AB86" s="18"/>
      <c r="AC86" s="18"/>
    </row>
    <row r="87">
      <c r="AB87" s="18"/>
      <c r="AC87" s="18"/>
    </row>
    <row r="88">
      <c r="AB88" s="18"/>
      <c r="AC88" s="18"/>
    </row>
    <row r="89">
      <c r="AB89" s="18"/>
      <c r="AC89" s="18"/>
    </row>
    <row r="90">
      <c r="AB90" s="18"/>
      <c r="AC90" s="18"/>
    </row>
    <row r="91">
      <c r="AB91" s="18"/>
      <c r="AC91" s="18"/>
    </row>
    <row r="92">
      <c r="AB92" s="18"/>
      <c r="AC92" s="18"/>
    </row>
    <row r="93">
      <c r="AB93" s="18"/>
      <c r="AC93" s="18"/>
    </row>
    <row r="94">
      <c r="AB94" s="18"/>
      <c r="AC94" s="18"/>
    </row>
    <row r="95">
      <c r="AB95" s="18"/>
      <c r="AC95" s="18"/>
    </row>
    <row r="96">
      <c r="AB96" s="18"/>
      <c r="AC96" s="18"/>
    </row>
    <row r="97">
      <c r="AB97" s="18"/>
      <c r="AC97" s="18"/>
    </row>
    <row r="98">
      <c r="AB98" s="18"/>
      <c r="AC98" s="18"/>
    </row>
    <row r="99">
      <c r="AB99" s="18"/>
      <c r="AC99" s="18"/>
    </row>
    <row r="100">
      <c r="AB100" s="18"/>
      <c r="AC100" s="18"/>
    </row>
    <row r="101">
      <c r="AB101" s="18"/>
      <c r="AC101" s="18"/>
    </row>
    <row r="102">
      <c r="AB102" s="18"/>
      <c r="AC102" s="18"/>
    </row>
    <row r="103">
      <c r="AB103" s="18"/>
      <c r="AC103" s="18"/>
    </row>
    <row r="104">
      <c r="AB104" s="18"/>
      <c r="AC104" s="18"/>
    </row>
    <row r="105">
      <c r="AB105" s="18"/>
      <c r="AC105" s="18"/>
    </row>
    <row r="106">
      <c r="AB106" s="18"/>
      <c r="AC106" s="18"/>
    </row>
    <row r="107">
      <c r="AB107" s="18"/>
      <c r="AC107" s="18"/>
    </row>
    <row r="108">
      <c r="AB108" s="18"/>
      <c r="AC108" s="18"/>
    </row>
    <row r="109">
      <c r="AB109" s="18"/>
      <c r="AC109" s="18"/>
    </row>
    <row r="110">
      <c r="AB110" s="18"/>
      <c r="AC110" s="18"/>
    </row>
    <row r="111">
      <c r="AB111" s="18"/>
      <c r="AC111" s="18"/>
    </row>
    <row r="112">
      <c r="AB112" s="18"/>
      <c r="AC112" s="18"/>
    </row>
    <row r="113">
      <c r="AB113" s="18"/>
      <c r="AC113" s="18"/>
    </row>
    <row r="114">
      <c r="AB114" s="18"/>
      <c r="AC114" s="18"/>
    </row>
    <row r="115">
      <c r="AB115" s="18"/>
      <c r="AC115" s="18"/>
    </row>
    <row r="116">
      <c r="AB116" s="18"/>
      <c r="AC116" s="18"/>
    </row>
    <row r="117">
      <c r="AB117" s="18"/>
      <c r="AC117" s="18"/>
    </row>
    <row r="118">
      <c r="AB118" s="18"/>
      <c r="AC118" s="18"/>
    </row>
    <row r="119">
      <c r="AB119" s="18"/>
      <c r="AC119" s="18"/>
    </row>
    <row r="120">
      <c r="AB120" s="18"/>
      <c r="AC120" s="18"/>
    </row>
    <row r="121">
      <c r="AB121" s="18"/>
      <c r="AC121" s="18"/>
    </row>
    <row r="122">
      <c r="AB122" s="18"/>
      <c r="AC122" s="18"/>
    </row>
    <row r="123">
      <c r="AB123" s="18"/>
      <c r="AC123" s="18"/>
    </row>
    <row r="124">
      <c r="AB124" s="18"/>
      <c r="AC124" s="18"/>
    </row>
    <row r="125">
      <c r="AB125" s="18"/>
      <c r="AC125" s="18"/>
    </row>
    <row r="126">
      <c r="AB126" s="18"/>
      <c r="AC126" s="18"/>
    </row>
    <row r="127">
      <c r="AB127" s="18"/>
      <c r="AC127" s="18"/>
    </row>
    <row r="128">
      <c r="AB128" s="18"/>
      <c r="AC128" s="18"/>
    </row>
    <row r="129">
      <c r="AB129" s="18"/>
      <c r="AC129" s="18"/>
    </row>
    <row r="130">
      <c r="AB130" s="18"/>
      <c r="AC130" s="18"/>
    </row>
    <row r="131">
      <c r="AB131" s="18"/>
      <c r="AC131" s="18"/>
    </row>
    <row r="132">
      <c r="AB132" s="18"/>
      <c r="AC132" s="18"/>
    </row>
    <row r="133">
      <c r="AB133" s="18"/>
      <c r="AC133" s="18"/>
    </row>
    <row r="134">
      <c r="AB134" s="18"/>
      <c r="AC134" s="18"/>
    </row>
    <row r="135">
      <c r="AB135" s="18"/>
      <c r="AC135" s="18"/>
    </row>
    <row r="136">
      <c r="AB136" s="18"/>
      <c r="AC136" s="18"/>
    </row>
    <row r="137">
      <c r="AB137" s="18"/>
      <c r="AC137" s="18"/>
    </row>
    <row r="138">
      <c r="AB138" s="18"/>
      <c r="AC138" s="18"/>
    </row>
    <row r="139">
      <c r="AB139" s="18"/>
      <c r="AC139" s="18"/>
    </row>
    <row r="140">
      <c r="AB140" s="18"/>
      <c r="AC140" s="18"/>
    </row>
    <row r="141">
      <c r="AB141" s="18"/>
      <c r="AC141" s="18"/>
    </row>
    <row r="142">
      <c r="AB142" s="18"/>
      <c r="AC142" s="18"/>
    </row>
    <row r="143">
      <c r="AB143" s="18"/>
      <c r="AC143" s="18"/>
    </row>
    <row r="144">
      <c r="AB144" s="18"/>
      <c r="AC144" s="18"/>
    </row>
    <row r="145">
      <c r="AB145" s="18"/>
      <c r="AC145" s="18"/>
    </row>
    <row r="146">
      <c r="AB146" s="18"/>
      <c r="AC146" s="18"/>
    </row>
    <row r="147">
      <c r="AB147" s="18"/>
      <c r="AC147" s="18"/>
    </row>
    <row r="148">
      <c r="AB148" s="18"/>
      <c r="AC148" s="18"/>
    </row>
    <row r="149">
      <c r="AB149" s="18"/>
      <c r="AC149" s="18"/>
    </row>
    <row r="150">
      <c r="AB150" s="18"/>
      <c r="AC150" s="18"/>
    </row>
    <row r="151">
      <c r="AB151" s="18"/>
      <c r="AC151" s="18"/>
    </row>
    <row r="152">
      <c r="AB152" s="18"/>
      <c r="AC152" s="18"/>
    </row>
    <row r="153">
      <c r="AB153" s="18"/>
      <c r="AC153" s="18"/>
    </row>
    <row r="154">
      <c r="AB154" s="18"/>
      <c r="AC154" s="18"/>
    </row>
    <row r="155">
      <c r="AB155" s="18"/>
      <c r="AC155" s="18"/>
    </row>
    <row r="156">
      <c r="AB156" s="18"/>
      <c r="AC156" s="18"/>
    </row>
    <row r="157">
      <c r="AB157" s="18"/>
      <c r="AC157" s="18"/>
    </row>
    <row r="158">
      <c r="AB158" s="18"/>
      <c r="AC158" s="18"/>
    </row>
    <row r="159">
      <c r="AB159" s="18"/>
      <c r="AC159" s="18"/>
    </row>
    <row r="160">
      <c r="AB160" s="18"/>
      <c r="AC160" s="18"/>
    </row>
    <row r="161">
      <c r="AB161" s="18"/>
      <c r="AC161" s="18"/>
    </row>
    <row r="162">
      <c r="AB162" s="18"/>
      <c r="AC162" s="18"/>
    </row>
    <row r="163">
      <c r="AB163" s="18"/>
      <c r="AC163" s="18"/>
    </row>
    <row r="164">
      <c r="AB164" s="18"/>
      <c r="AC164" s="18"/>
    </row>
    <row r="165">
      <c r="AB165" s="18"/>
      <c r="AC165" s="18"/>
    </row>
    <row r="166">
      <c r="AB166" s="18"/>
      <c r="AC166" s="18"/>
    </row>
    <row r="167">
      <c r="AB167" s="18"/>
      <c r="AC167" s="18"/>
    </row>
    <row r="168">
      <c r="AB168" s="18"/>
      <c r="AC168" s="18"/>
    </row>
    <row r="169">
      <c r="AB169" s="18"/>
      <c r="AC169" s="18"/>
    </row>
    <row r="170">
      <c r="AB170" s="18"/>
      <c r="AC170" s="18"/>
    </row>
    <row r="171">
      <c r="AB171" s="18"/>
      <c r="AC171" s="18"/>
    </row>
    <row r="172">
      <c r="AB172" s="18"/>
      <c r="AC172" s="18"/>
    </row>
    <row r="173">
      <c r="AB173" s="18"/>
      <c r="AC173" s="18"/>
    </row>
    <row r="174">
      <c r="AB174" s="18"/>
      <c r="AC174" s="18"/>
    </row>
    <row r="175">
      <c r="AB175" s="18"/>
      <c r="AC175" s="18"/>
    </row>
    <row r="176">
      <c r="AB176" s="18"/>
      <c r="AC176" s="18"/>
    </row>
    <row r="177">
      <c r="AB177" s="18"/>
      <c r="AC177" s="18"/>
    </row>
    <row r="178">
      <c r="AB178" s="18"/>
      <c r="AC178" s="18"/>
    </row>
    <row r="179">
      <c r="AB179" s="18"/>
      <c r="AC179" s="18"/>
    </row>
    <row r="180">
      <c r="AB180" s="18"/>
      <c r="AC180" s="18"/>
    </row>
    <row r="181">
      <c r="AB181" s="18"/>
      <c r="AC181" s="18"/>
    </row>
    <row r="182">
      <c r="AB182" s="18"/>
      <c r="AC182" s="18"/>
    </row>
    <row r="183">
      <c r="AB183" s="18"/>
      <c r="AC183" s="18"/>
    </row>
    <row r="184">
      <c r="AB184" s="18"/>
      <c r="AC184" s="18"/>
    </row>
    <row r="185">
      <c r="AB185" s="18"/>
      <c r="AC185" s="18"/>
    </row>
    <row r="186">
      <c r="AB186" s="18"/>
      <c r="AC186" s="18"/>
    </row>
    <row r="187">
      <c r="AB187" s="18"/>
      <c r="AC187" s="18"/>
    </row>
    <row r="188">
      <c r="AB188" s="18"/>
      <c r="AC188" s="18"/>
    </row>
    <row r="189">
      <c r="AB189" s="18"/>
      <c r="AC189" s="18"/>
    </row>
    <row r="190">
      <c r="AB190" s="18"/>
      <c r="AC190" s="18"/>
    </row>
    <row r="191">
      <c r="AB191" s="18"/>
      <c r="AC191" s="18"/>
    </row>
    <row r="192">
      <c r="AB192" s="18"/>
      <c r="AC192" s="18"/>
    </row>
    <row r="193">
      <c r="AB193" s="18"/>
      <c r="AC193" s="18"/>
    </row>
    <row r="194">
      <c r="AB194" s="18"/>
      <c r="AC194" s="18"/>
    </row>
    <row r="195">
      <c r="AB195" s="18"/>
      <c r="AC195" s="18"/>
    </row>
    <row r="196">
      <c r="AB196" s="18"/>
      <c r="AC196" s="18"/>
    </row>
    <row r="197">
      <c r="AB197" s="18"/>
      <c r="AC197" s="18"/>
    </row>
    <row r="198">
      <c r="AB198" s="18"/>
      <c r="AC198" s="18"/>
    </row>
    <row r="199">
      <c r="AB199" s="18"/>
      <c r="AC199" s="18"/>
    </row>
    <row r="200">
      <c r="AB200" s="18"/>
      <c r="AC200" s="18"/>
    </row>
    <row r="201">
      <c r="AB201" s="18"/>
      <c r="AC201" s="18"/>
    </row>
    <row r="202">
      <c r="AB202" s="18"/>
      <c r="AC202" s="18"/>
    </row>
    <row r="203">
      <c r="AB203" s="18"/>
      <c r="AC203" s="18"/>
    </row>
    <row r="204">
      <c r="AB204" s="18"/>
      <c r="AC204" s="18"/>
    </row>
    <row r="205">
      <c r="AB205" s="18"/>
      <c r="AC205" s="18"/>
    </row>
    <row r="206">
      <c r="AB206" s="18"/>
      <c r="AC206" s="18"/>
    </row>
    <row r="207">
      <c r="AB207" s="18"/>
      <c r="AC207" s="18"/>
    </row>
    <row r="208">
      <c r="AB208" s="18"/>
      <c r="AC208" s="18"/>
    </row>
    <row r="209">
      <c r="AB209" s="18"/>
      <c r="AC209" s="18"/>
    </row>
    <row r="210">
      <c r="AB210" s="18"/>
      <c r="AC210" s="18"/>
    </row>
    <row r="211">
      <c r="AB211" s="18"/>
      <c r="AC211" s="18"/>
    </row>
    <row r="212">
      <c r="AB212" s="18"/>
      <c r="AC212" s="18"/>
    </row>
    <row r="213">
      <c r="AB213" s="18"/>
      <c r="AC213" s="18"/>
    </row>
    <row r="214">
      <c r="AB214" s="18"/>
      <c r="AC214" s="18"/>
    </row>
    <row r="215">
      <c r="AB215" s="18"/>
      <c r="AC215" s="18"/>
    </row>
    <row r="216">
      <c r="AB216" s="18"/>
      <c r="AC216" s="18"/>
    </row>
    <row r="217">
      <c r="AB217" s="18"/>
      <c r="AC217" s="18"/>
    </row>
    <row r="218">
      <c r="AB218" s="18"/>
      <c r="AC218" s="18"/>
    </row>
    <row r="219">
      <c r="AB219" s="18"/>
      <c r="AC219" s="18"/>
    </row>
    <row r="220">
      <c r="AB220" s="18"/>
      <c r="AC220" s="18"/>
    </row>
    <row r="221">
      <c r="AB221" s="18"/>
      <c r="AC221" s="18"/>
    </row>
    <row r="222">
      <c r="AB222" s="18"/>
      <c r="AC222" s="18"/>
    </row>
    <row r="223">
      <c r="AB223" s="18"/>
      <c r="AC223" s="18"/>
    </row>
    <row r="224">
      <c r="AB224" s="18"/>
      <c r="AC224" s="18"/>
    </row>
    <row r="225">
      <c r="AB225" s="18"/>
      <c r="AC225" s="18"/>
    </row>
    <row r="226">
      <c r="AB226" s="18"/>
      <c r="AC226" s="18"/>
    </row>
    <row r="227">
      <c r="AB227" s="18"/>
      <c r="AC227" s="18"/>
    </row>
    <row r="228">
      <c r="AB228" s="18"/>
      <c r="AC228" s="18"/>
    </row>
    <row r="229">
      <c r="AB229" s="18"/>
      <c r="AC229" s="18"/>
    </row>
    <row r="230">
      <c r="AB230" s="18"/>
      <c r="AC230" s="18"/>
    </row>
    <row r="231">
      <c r="AB231" s="18"/>
      <c r="AC231" s="18"/>
    </row>
    <row r="232">
      <c r="AB232" s="18"/>
      <c r="AC232" s="18"/>
    </row>
    <row r="233">
      <c r="AB233" s="18"/>
      <c r="AC233" s="18"/>
    </row>
    <row r="234">
      <c r="AB234" s="18"/>
      <c r="AC234" s="18"/>
    </row>
    <row r="235">
      <c r="AB235" s="18"/>
      <c r="AC235" s="18"/>
    </row>
    <row r="236">
      <c r="AB236" s="18"/>
      <c r="AC236" s="18"/>
    </row>
    <row r="237">
      <c r="AB237" s="18"/>
      <c r="AC237" s="18"/>
    </row>
    <row r="238">
      <c r="AB238" s="18"/>
      <c r="AC238" s="18"/>
    </row>
    <row r="239">
      <c r="AB239" s="18"/>
      <c r="AC239" s="18"/>
    </row>
    <row r="240">
      <c r="AB240" s="18"/>
      <c r="AC240" s="18"/>
    </row>
    <row r="241">
      <c r="AB241" s="18"/>
      <c r="AC241" s="18"/>
    </row>
    <row r="242">
      <c r="AB242" s="18"/>
      <c r="AC242" s="18"/>
    </row>
    <row r="243">
      <c r="AB243" s="18"/>
      <c r="AC243" s="18"/>
    </row>
    <row r="244">
      <c r="AB244" s="18"/>
      <c r="AC244" s="18"/>
    </row>
    <row r="245">
      <c r="AB245" s="18"/>
      <c r="AC245" s="18"/>
    </row>
    <row r="246">
      <c r="AB246" s="18"/>
      <c r="AC246" s="18"/>
    </row>
    <row r="247">
      <c r="AB247" s="18"/>
      <c r="AC247" s="18"/>
    </row>
    <row r="248">
      <c r="AB248" s="18"/>
      <c r="AC248" s="18"/>
    </row>
    <row r="249">
      <c r="AB249" s="18"/>
      <c r="AC249" s="18"/>
    </row>
    <row r="250">
      <c r="AB250" s="18"/>
      <c r="AC250" s="18"/>
    </row>
    <row r="251">
      <c r="AB251" s="18"/>
      <c r="AC251" s="18"/>
    </row>
    <row r="252">
      <c r="AB252" s="18"/>
      <c r="AC252" s="18"/>
    </row>
    <row r="253">
      <c r="AB253" s="18"/>
      <c r="AC253" s="18"/>
    </row>
    <row r="254">
      <c r="AB254" s="18"/>
      <c r="AC254" s="18"/>
    </row>
    <row r="255">
      <c r="AB255" s="18"/>
      <c r="AC255" s="18"/>
    </row>
    <row r="256">
      <c r="AB256" s="18"/>
      <c r="AC256" s="18"/>
    </row>
    <row r="257">
      <c r="AB257" s="18"/>
      <c r="AC257" s="18"/>
    </row>
    <row r="258">
      <c r="AB258" s="18"/>
      <c r="AC258" s="18"/>
    </row>
    <row r="259">
      <c r="AB259" s="18"/>
      <c r="AC259" s="18"/>
    </row>
    <row r="260">
      <c r="AB260" s="18"/>
      <c r="AC260" s="18"/>
    </row>
    <row r="261">
      <c r="AB261" s="18"/>
      <c r="AC261" s="18"/>
    </row>
    <row r="262">
      <c r="AB262" s="18"/>
      <c r="AC262" s="18"/>
    </row>
    <row r="263">
      <c r="AB263" s="18"/>
      <c r="AC263" s="18"/>
    </row>
    <row r="264">
      <c r="AB264" s="18"/>
      <c r="AC264" s="18"/>
    </row>
    <row r="265">
      <c r="AB265" s="18"/>
      <c r="AC265" s="18"/>
    </row>
    <row r="266">
      <c r="AB266" s="18"/>
      <c r="AC266" s="18"/>
    </row>
    <row r="267">
      <c r="AB267" s="18"/>
      <c r="AC267" s="18"/>
    </row>
    <row r="268">
      <c r="AB268" s="18"/>
      <c r="AC268" s="18"/>
    </row>
    <row r="269">
      <c r="AB269" s="18"/>
      <c r="AC269" s="18"/>
    </row>
    <row r="270">
      <c r="AB270" s="18"/>
      <c r="AC270" s="18"/>
    </row>
    <row r="271">
      <c r="AB271" s="18"/>
      <c r="AC271" s="18"/>
    </row>
    <row r="272">
      <c r="AB272" s="18"/>
      <c r="AC272" s="18"/>
    </row>
    <row r="273">
      <c r="AB273" s="18"/>
      <c r="AC273" s="18"/>
    </row>
    <row r="274">
      <c r="AB274" s="18"/>
      <c r="AC274" s="18"/>
    </row>
    <row r="275">
      <c r="AB275" s="18"/>
      <c r="AC275" s="18"/>
    </row>
    <row r="276">
      <c r="AB276" s="18"/>
      <c r="AC276" s="18"/>
    </row>
    <row r="277">
      <c r="AB277" s="18"/>
      <c r="AC277" s="18"/>
    </row>
    <row r="278">
      <c r="AB278" s="18"/>
      <c r="AC278" s="18"/>
    </row>
    <row r="279">
      <c r="AB279" s="18"/>
      <c r="AC279" s="18"/>
    </row>
    <row r="280">
      <c r="AB280" s="18"/>
      <c r="AC280" s="18"/>
    </row>
    <row r="281">
      <c r="AB281" s="18"/>
      <c r="AC281" s="18"/>
    </row>
    <row r="282">
      <c r="AB282" s="18"/>
      <c r="AC282" s="18"/>
    </row>
    <row r="283">
      <c r="AB283" s="18"/>
      <c r="AC283" s="18"/>
    </row>
    <row r="284">
      <c r="AB284" s="18"/>
      <c r="AC284" s="18"/>
    </row>
    <row r="285">
      <c r="AB285" s="18"/>
      <c r="AC285" s="18"/>
    </row>
    <row r="286">
      <c r="AB286" s="18"/>
      <c r="AC286" s="18"/>
    </row>
    <row r="287">
      <c r="AB287" s="18"/>
      <c r="AC287" s="18"/>
    </row>
    <row r="288">
      <c r="AB288" s="18"/>
      <c r="AC288" s="18"/>
    </row>
    <row r="289">
      <c r="AB289" s="18"/>
      <c r="AC289" s="18"/>
    </row>
    <row r="290">
      <c r="AB290" s="18"/>
      <c r="AC290" s="18"/>
    </row>
    <row r="291">
      <c r="AB291" s="18"/>
      <c r="AC291" s="18"/>
    </row>
    <row r="292">
      <c r="AB292" s="18"/>
      <c r="AC292" s="18"/>
    </row>
    <row r="293">
      <c r="AB293" s="18"/>
      <c r="AC293" s="18"/>
    </row>
    <row r="294">
      <c r="AB294" s="18"/>
      <c r="AC294" s="18"/>
    </row>
    <row r="295">
      <c r="AB295" s="18"/>
      <c r="AC295" s="18"/>
    </row>
    <row r="296">
      <c r="AB296" s="18"/>
      <c r="AC296" s="18"/>
    </row>
    <row r="297">
      <c r="AB297" s="18"/>
      <c r="AC297" s="18"/>
    </row>
    <row r="298">
      <c r="AB298" s="18"/>
      <c r="AC298" s="18"/>
    </row>
    <row r="299">
      <c r="AB299" s="18"/>
      <c r="AC299" s="18"/>
    </row>
    <row r="300">
      <c r="AB300" s="18"/>
      <c r="AC300" s="18"/>
    </row>
    <row r="301">
      <c r="AB301" s="18"/>
      <c r="AC301" s="18"/>
    </row>
    <row r="302">
      <c r="AB302" s="18"/>
      <c r="AC302" s="18"/>
    </row>
    <row r="303">
      <c r="AB303" s="18"/>
      <c r="AC303" s="18"/>
    </row>
    <row r="304">
      <c r="AB304" s="18"/>
      <c r="AC304" s="18"/>
    </row>
    <row r="305">
      <c r="AB305" s="18"/>
      <c r="AC305" s="18"/>
    </row>
    <row r="306">
      <c r="AB306" s="18"/>
      <c r="AC306" s="18"/>
    </row>
    <row r="307">
      <c r="AB307" s="18"/>
      <c r="AC307" s="18"/>
    </row>
    <row r="308">
      <c r="AB308" s="18"/>
      <c r="AC308" s="18"/>
    </row>
    <row r="309">
      <c r="AB309" s="18"/>
      <c r="AC309" s="18"/>
    </row>
    <row r="310">
      <c r="AB310" s="18"/>
      <c r="AC310" s="18"/>
    </row>
    <row r="311">
      <c r="AB311" s="18"/>
      <c r="AC311" s="18"/>
    </row>
    <row r="312">
      <c r="AB312" s="18"/>
      <c r="AC312" s="18"/>
    </row>
    <row r="313">
      <c r="AB313" s="18"/>
      <c r="AC313" s="18"/>
    </row>
    <row r="314">
      <c r="AB314" s="18"/>
      <c r="AC314" s="18"/>
    </row>
    <row r="315">
      <c r="AB315" s="18"/>
      <c r="AC315" s="18"/>
    </row>
    <row r="316">
      <c r="AB316" s="18"/>
      <c r="AC316" s="18"/>
    </row>
    <row r="317">
      <c r="AB317" s="18"/>
      <c r="AC317" s="18"/>
    </row>
    <row r="318">
      <c r="AB318" s="18"/>
      <c r="AC318" s="18"/>
    </row>
    <row r="319">
      <c r="AB319" s="18"/>
      <c r="AC319" s="18"/>
    </row>
    <row r="320">
      <c r="AB320" s="18"/>
      <c r="AC320" s="18"/>
    </row>
    <row r="321">
      <c r="AB321" s="18"/>
      <c r="AC321" s="18"/>
    </row>
    <row r="322">
      <c r="AB322" s="18"/>
      <c r="AC322" s="18"/>
    </row>
    <row r="323">
      <c r="AB323" s="18"/>
      <c r="AC323" s="18"/>
    </row>
    <row r="324">
      <c r="AB324" s="18"/>
      <c r="AC324" s="18"/>
    </row>
    <row r="325">
      <c r="AB325" s="18"/>
      <c r="AC325" s="18"/>
    </row>
    <row r="326">
      <c r="AB326" s="18"/>
      <c r="AC326" s="18"/>
    </row>
    <row r="327">
      <c r="AB327" s="18"/>
      <c r="AC327" s="18"/>
    </row>
    <row r="328">
      <c r="AB328" s="18"/>
      <c r="AC328" s="18"/>
    </row>
    <row r="329">
      <c r="AB329" s="18"/>
      <c r="AC329" s="18"/>
    </row>
    <row r="330">
      <c r="AB330" s="18"/>
      <c r="AC330" s="18"/>
    </row>
    <row r="331">
      <c r="AB331" s="18"/>
      <c r="AC331" s="18"/>
    </row>
    <row r="332">
      <c r="AB332" s="18"/>
      <c r="AC332" s="18"/>
    </row>
    <row r="333">
      <c r="AB333" s="18"/>
      <c r="AC333" s="18"/>
    </row>
    <row r="334">
      <c r="AB334" s="18"/>
      <c r="AC334" s="18"/>
    </row>
    <row r="335">
      <c r="AB335" s="18"/>
      <c r="AC335" s="18"/>
    </row>
    <row r="336">
      <c r="AB336" s="18"/>
      <c r="AC336" s="18"/>
    </row>
    <row r="337">
      <c r="AB337" s="18"/>
      <c r="AC337" s="18"/>
    </row>
    <row r="338">
      <c r="AB338" s="18"/>
      <c r="AC338" s="18"/>
    </row>
    <row r="339">
      <c r="AB339" s="18"/>
      <c r="AC339" s="18"/>
    </row>
    <row r="340">
      <c r="AB340" s="18"/>
      <c r="AC340" s="18"/>
    </row>
    <row r="341">
      <c r="AB341" s="18"/>
      <c r="AC341" s="18"/>
    </row>
    <row r="342">
      <c r="AB342" s="18"/>
      <c r="AC342" s="18"/>
    </row>
    <row r="343">
      <c r="AB343" s="18"/>
      <c r="AC343" s="18"/>
    </row>
    <row r="344">
      <c r="AB344" s="18"/>
      <c r="AC344" s="18"/>
    </row>
    <row r="345">
      <c r="AB345" s="18"/>
      <c r="AC345" s="18"/>
    </row>
    <row r="346">
      <c r="AB346" s="18"/>
      <c r="AC346" s="18"/>
    </row>
    <row r="347">
      <c r="AB347" s="18"/>
      <c r="AC347" s="18"/>
    </row>
    <row r="348">
      <c r="AB348" s="18"/>
      <c r="AC348" s="18"/>
    </row>
    <row r="349">
      <c r="AB349" s="18"/>
      <c r="AC349" s="18"/>
    </row>
    <row r="350">
      <c r="AB350" s="18"/>
      <c r="AC350" s="18"/>
    </row>
    <row r="351">
      <c r="AB351" s="18"/>
      <c r="AC351" s="18"/>
    </row>
    <row r="352">
      <c r="AB352" s="18"/>
      <c r="AC352" s="18"/>
    </row>
    <row r="353">
      <c r="AB353" s="18"/>
      <c r="AC353" s="18"/>
    </row>
    <row r="354">
      <c r="AB354" s="18"/>
      <c r="AC354" s="18"/>
    </row>
    <row r="355">
      <c r="AB355" s="18"/>
      <c r="AC355" s="18"/>
    </row>
    <row r="356">
      <c r="AB356" s="18"/>
      <c r="AC356" s="18"/>
    </row>
    <row r="357">
      <c r="AB357" s="18"/>
      <c r="AC357" s="18"/>
    </row>
    <row r="358">
      <c r="AB358" s="18"/>
      <c r="AC358" s="18"/>
    </row>
    <row r="359">
      <c r="AB359" s="18"/>
      <c r="AC359" s="18"/>
    </row>
    <row r="360">
      <c r="AB360" s="18"/>
      <c r="AC360" s="18"/>
    </row>
    <row r="361">
      <c r="AB361" s="18"/>
      <c r="AC361" s="18"/>
    </row>
    <row r="362">
      <c r="AB362" s="18"/>
      <c r="AC362" s="18"/>
    </row>
    <row r="363">
      <c r="AB363" s="18"/>
      <c r="AC363" s="18"/>
    </row>
    <row r="364">
      <c r="AB364" s="18"/>
      <c r="AC364" s="18"/>
    </row>
    <row r="365">
      <c r="AB365" s="18"/>
      <c r="AC365" s="18"/>
    </row>
    <row r="366">
      <c r="AB366" s="18"/>
      <c r="AC366" s="18"/>
    </row>
    <row r="367">
      <c r="AB367" s="18"/>
      <c r="AC367" s="18"/>
    </row>
    <row r="368">
      <c r="AB368" s="18"/>
      <c r="AC368" s="18"/>
    </row>
    <row r="369">
      <c r="AB369" s="18"/>
      <c r="AC369" s="18"/>
    </row>
    <row r="370">
      <c r="AB370" s="18"/>
      <c r="AC370" s="18"/>
    </row>
    <row r="371">
      <c r="AB371" s="18"/>
      <c r="AC371" s="18"/>
    </row>
    <row r="372">
      <c r="AB372" s="18"/>
      <c r="AC372" s="18"/>
    </row>
    <row r="373">
      <c r="AB373" s="18"/>
      <c r="AC373" s="18"/>
    </row>
    <row r="374">
      <c r="AB374" s="18"/>
      <c r="AC374" s="18"/>
    </row>
    <row r="375">
      <c r="AB375" s="18"/>
      <c r="AC375" s="18"/>
    </row>
    <row r="376">
      <c r="AB376" s="18"/>
      <c r="AC376" s="18"/>
    </row>
    <row r="377">
      <c r="AB377" s="18"/>
      <c r="AC377" s="18"/>
    </row>
    <row r="378">
      <c r="AB378" s="18"/>
      <c r="AC378" s="18"/>
    </row>
    <row r="379">
      <c r="AB379" s="18"/>
      <c r="AC379" s="18"/>
    </row>
    <row r="380">
      <c r="AB380" s="18"/>
      <c r="AC380" s="18"/>
    </row>
    <row r="381">
      <c r="AB381" s="18"/>
      <c r="AC381" s="18"/>
    </row>
    <row r="382">
      <c r="AB382" s="18"/>
      <c r="AC382" s="18"/>
    </row>
    <row r="383">
      <c r="AB383" s="18"/>
      <c r="AC383" s="18"/>
    </row>
    <row r="384">
      <c r="AB384" s="18"/>
      <c r="AC384" s="18"/>
    </row>
    <row r="385">
      <c r="AB385" s="18"/>
      <c r="AC385" s="18"/>
    </row>
    <row r="386">
      <c r="AB386" s="18"/>
      <c r="AC386" s="18"/>
    </row>
    <row r="387">
      <c r="AB387" s="18"/>
      <c r="AC387" s="18"/>
    </row>
    <row r="388">
      <c r="AB388" s="18"/>
      <c r="AC388" s="18"/>
    </row>
    <row r="389">
      <c r="AB389" s="18"/>
      <c r="AC389" s="18"/>
    </row>
    <row r="390">
      <c r="AB390" s="18"/>
      <c r="AC390" s="18"/>
    </row>
    <row r="391">
      <c r="AB391" s="18"/>
      <c r="AC391" s="18"/>
    </row>
    <row r="392">
      <c r="AB392" s="18"/>
      <c r="AC392" s="18"/>
    </row>
    <row r="393">
      <c r="AB393" s="18"/>
      <c r="AC393" s="18"/>
    </row>
    <row r="394">
      <c r="AB394" s="18"/>
      <c r="AC394" s="18"/>
    </row>
    <row r="395">
      <c r="AB395" s="18"/>
      <c r="AC395" s="18"/>
    </row>
    <row r="396">
      <c r="AB396" s="18"/>
      <c r="AC396" s="18"/>
    </row>
    <row r="397">
      <c r="AB397" s="18"/>
      <c r="AC397" s="18"/>
    </row>
    <row r="398">
      <c r="AB398" s="18"/>
      <c r="AC398" s="18"/>
    </row>
    <row r="399">
      <c r="AB399" s="18"/>
      <c r="AC399" s="18"/>
    </row>
    <row r="400">
      <c r="AB400" s="18"/>
      <c r="AC400" s="18"/>
    </row>
    <row r="401">
      <c r="AB401" s="18"/>
      <c r="AC401" s="18"/>
    </row>
    <row r="402">
      <c r="AB402" s="18"/>
      <c r="AC402" s="18"/>
    </row>
    <row r="403">
      <c r="AB403" s="18"/>
      <c r="AC403" s="18"/>
    </row>
    <row r="404">
      <c r="AB404" s="18"/>
      <c r="AC404" s="18"/>
    </row>
    <row r="405">
      <c r="AB405" s="18"/>
      <c r="AC405" s="18"/>
    </row>
    <row r="406">
      <c r="AB406" s="18"/>
      <c r="AC406" s="18"/>
    </row>
    <row r="407">
      <c r="AB407" s="18"/>
      <c r="AC407" s="18"/>
    </row>
    <row r="408">
      <c r="AB408" s="18"/>
      <c r="AC408" s="18"/>
    </row>
    <row r="409">
      <c r="AB409" s="18"/>
      <c r="AC409" s="18"/>
    </row>
    <row r="410">
      <c r="AB410" s="18"/>
      <c r="AC410" s="18"/>
    </row>
    <row r="411">
      <c r="AB411" s="18"/>
      <c r="AC411" s="18"/>
    </row>
    <row r="412">
      <c r="AB412" s="18"/>
      <c r="AC412" s="18"/>
    </row>
    <row r="413">
      <c r="AB413" s="18"/>
      <c r="AC413" s="18"/>
    </row>
    <row r="414">
      <c r="AB414" s="18"/>
      <c r="AC414" s="18"/>
    </row>
    <row r="415">
      <c r="AB415" s="18"/>
      <c r="AC415" s="18"/>
    </row>
    <row r="416">
      <c r="AB416" s="18"/>
      <c r="AC416" s="18"/>
    </row>
    <row r="417">
      <c r="AB417" s="18"/>
      <c r="AC417" s="18"/>
    </row>
    <row r="418">
      <c r="AB418" s="18"/>
      <c r="AC418" s="18"/>
    </row>
    <row r="419">
      <c r="AB419" s="18"/>
      <c r="AC419" s="18"/>
    </row>
    <row r="420">
      <c r="AB420" s="18"/>
      <c r="AC420" s="18"/>
    </row>
    <row r="421">
      <c r="AB421" s="18"/>
      <c r="AC421" s="18"/>
    </row>
    <row r="422">
      <c r="AB422" s="18"/>
      <c r="AC422" s="18"/>
    </row>
    <row r="423">
      <c r="AB423" s="18"/>
      <c r="AC423" s="18"/>
    </row>
    <row r="424">
      <c r="AB424" s="18"/>
      <c r="AC424" s="18"/>
    </row>
    <row r="425">
      <c r="AB425" s="18"/>
      <c r="AC425" s="18"/>
    </row>
    <row r="426">
      <c r="AB426" s="18"/>
      <c r="AC426" s="18"/>
    </row>
    <row r="427">
      <c r="AB427" s="18"/>
      <c r="AC427" s="18"/>
    </row>
    <row r="428">
      <c r="AB428" s="18"/>
      <c r="AC428" s="18"/>
    </row>
    <row r="429">
      <c r="AB429" s="18"/>
      <c r="AC429" s="18"/>
    </row>
    <row r="430">
      <c r="AB430" s="18"/>
      <c r="AC430" s="18"/>
    </row>
    <row r="431">
      <c r="AB431" s="18"/>
      <c r="AC431" s="18"/>
    </row>
    <row r="432">
      <c r="AB432" s="18"/>
      <c r="AC432" s="18"/>
    </row>
    <row r="433">
      <c r="AB433" s="18"/>
      <c r="AC433" s="18"/>
    </row>
    <row r="434">
      <c r="AB434" s="18"/>
      <c r="AC434" s="18"/>
    </row>
    <row r="435">
      <c r="AB435" s="18"/>
      <c r="AC435" s="18"/>
    </row>
    <row r="436">
      <c r="AB436" s="18"/>
      <c r="AC436" s="18"/>
    </row>
    <row r="437">
      <c r="AB437" s="18"/>
      <c r="AC437" s="18"/>
    </row>
    <row r="438">
      <c r="AB438" s="18"/>
      <c r="AC438" s="18"/>
    </row>
    <row r="439">
      <c r="AB439" s="18"/>
      <c r="AC439" s="18"/>
    </row>
    <row r="440">
      <c r="AB440" s="18"/>
      <c r="AC440" s="18"/>
    </row>
    <row r="441">
      <c r="AB441" s="18"/>
      <c r="AC441" s="18"/>
    </row>
    <row r="442">
      <c r="AB442" s="18"/>
      <c r="AC442" s="18"/>
    </row>
    <row r="443">
      <c r="AB443" s="18"/>
      <c r="AC443" s="18"/>
    </row>
    <row r="444">
      <c r="AB444" s="18"/>
      <c r="AC444" s="18"/>
    </row>
    <row r="445">
      <c r="AB445" s="18"/>
      <c r="AC445" s="18"/>
    </row>
    <row r="446">
      <c r="AB446" s="18"/>
      <c r="AC446" s="18"/>
    </row>
    <row r="447">
      <c r="AB447" s="18"/>
      <c r="AC447" s="18"/>
    </row>
    <row r="448">
      <c r="AB448" s="18"/>
      <c r="AC448" s="18"/>
    </row>
    <row r="449">
      <c r="AB449" s="18"/>
      <c r="AC449" s="18"/>
    </row>
    <row r="450">
      <c r="AB450" s="18"/>
      <c r="AC450" s="18"/>
    </row>
    <row r="451">
      <c r="AB451" s="18"/>
      <c r="AC451" s="18"/>
    </row>
    <row r="452">
      <c r="AB452" s="18"/>
      <c r="AC452" s="18"/>
    </row>
    <row r="453">
      <c r="AB453" s="18"/>
      <c r="AC453" s="18"/>
    </row>
    <row r="454">
      <c r="AB454" s="18"/>
      <c r="AC454" s="18"/>
    </row>
    <row r="455">
      <c r="AB455" s="18"/>
      <c r="AC455" s="18"/>
    </row>
    <row r="456">
      <c r="AB456" s="18"/>
      <c r="AC456" s="18"/>
    </row>
    <row r="457">
      <c r="AB457" s="18"/>
      <c r="AC457" s="18"/>
    </row>
    <row r="458">
      <c r="AB458" s="18"/>
      <c r="AC458" s="18"/>
    </row>
    <row r="459">
      <c r="AB459" s="18"/>
      <c r="AC459" s="18"/>
    </row>
    <row r="460">
      <c r="AB460" s="18"/>
      <c r="AC460" s="18"/>
    </row>
    <row r="461">
      <c r="AB461" s="18"/>
      <c r="AC461" s="18"/>
    </row>
    <row r="462">
      <c r="AB462" s="18"/>
      <c r="AC462" s="18"/>
    </row>
    <row r="463">
      <c r="AB463" s="18"/>
      <c r="AC463" s="18"/>
    </row>
    <row r="464">
      <c r="AB464" s="18"/>
      <c r="AC464" s="18"/>
    </row>
    <row r="465">
      <c r="AB465" s="18"/>
      <c r="AC465" s="18"/>
    </row>
    <row r="466">
      <c r="AB466" s="18"/>
      <c r="AC466" s="18"/>
    </row>
    <row r="467">
      <c r="AB467" s="18"/>
      <c r="AC467" s="18"/>
    </row>
    <row r="468">
      <c r="AB468" s="18"/>
      <c r="AC468" s="18"/>
    </row>
    <row r="469">
      <c r="AB469" s="18"/>
      <c r="AC469" s="18"/>
    </row>
    <row r="470">
      <c r="AB470" s="18"/>
      <c r="AC470" s="18"/>
    </row>
    <row r="471">
      <c r="AB471" s="18"/>
      <c r="AC471" s="18"/>
    </row>
    <row r="472">
      <c r="AB472" s="18"/>
      <c r="AC472" s="18"/>
    </row>
    <row r="473">
      <c r="AB473" s="18"/>
      <c r="AC473" s="18"/>
    </row>
    <row r="474">
      <c r="AB474" s="18"/>
      <c r="AC474" s="18"/>
    </row>
    <row r="475">
      <c r="AB475" s="18"/>
      <c r="AC475" s="18"/>
    </row>
    <row r="476">
      <c r="AB476" s="18"/>
      <c r="AC476" s="18"/>
    </row>
    <row r="477">
      <c r="AB477" s="18"/>
      <c r="AC477" s="18"/>
    </row>
    <row r="478">
      <c r="AB478" s="18"/>
      <c r="AC478" s="18"/>
    </row>
    <row r="479">
      <c r="AB479" s="18"/>
      <c r="AC479" s="18"/>
    </row>
    <row r="480">
      <c r="AB480" s="18"/>
      <c r="AC480" s="18"/>
    </row>
    <row r="481">
      <c r="AB481" s="18"/>
      <c r="AC481" s="18"/>
    </row>
    <row r="482">
      <c r="AB482" s="18"/>
      <c r="AC482" s="18"/>
    </row>
    <row r="483">
      <c r="AB483" s="18"/>
      <c r="AC483" s="18"/>
    </row>
    <row r="484">
      <c r="AB484" s="18"/>
      <c r="AC484" s="18"/>
    </row>
    <row r="485">
      <c r="AB485" s="18"/>
      <c r="AC485" s="18"/>
    </row>
    <row r="486">
      <c r="AB486" s="18"/>
      <c r="AC486" s="18"/>
    </row>
    <row r="487">
      <c r="AB487" s="18"/>
      <c r="AC487" s="18"/>
    </row>
    <row r="488">
      <c r="AB488" s="18"/>
      <c r="AC488" s="18"/>
    </row>
    <row r="489">
      <c r="AB489" s="18"/>
      <c r="AC489" s="18"/>
    </row>
    <row r="490">
      <c r="AB490" s="18"/>
      <c r="AC490" s="18"/>
    </row>
    <row r="491">
      <c r="AB491" s="18"/>
      <c r="AC491" s="18"/>
    </row>
    <row r="492">
      <c r="AB492" s="18"/>
      <c r="AC492" s="18"/>
    </row>
    <row r="493">
      <c r="AB493" s="18"/>
      <c r="AC493" s="18"/>
    </row>
    <row r="494">
      <c r="AB494" s="18"/>
      <c r="AC494" s="18"/>
    </row>
    <row r="495">
      <c r="AB495" s="18"/>
      <c r="AC495" s="18"/>
    </row>
    <row r="496">
      <c r="AB496" s="18"/>
      <c r="AC496" s="18"/>
    </row>
    <row r="497">
      <c r="AB497" s="18"/>
      <c r="AC497" s="18"/>
    </row>
    <row r="498">
      <c r="AB498" s="18"/>
      <c r="AC498" s="18"/>
    </row>
    <row r="499">
      <c r="AB499" s="18"/>
      <c r="AC499" s="18"/>
    </row>
    <row r="500">
      <c r="AB500" s="18"/>
      <c r="AC500" s="18"/>
    </row>
    <row r="501">
      <c r="AB501" s="18"/>
      <c r="AC501" s="18"/>
    </row>
    <row r="502">
      <c r="AB502" s="18"/>
      <c r="AC502" s="18"/>
    </row>
    <row r="503">
      <c r="AB503" s="18"/>
      <c r="AC503" s="18"/>
    </row>
    <row r="504">
      <c r="AB504" s="18"/>
      <c r="AC504" s="18"/>
    </row>
    <row r="505">
      <c r="AB505" s="18"/>
      <c r="AC505" s="18"/>
    </row>
    <row r="506">
      <c r="AB506" s="18"/>
      <c r="AC506" s="18"/>
    </row>
    <row r="507">
      <c r="AB507" s="18"/>
      <c r="AC507" s="18"/>
    </row>
    <row r="508">
      <c r="AB508" s="18"/>
      <c r="AC508" s="18"/>
    </row>
    <row r="509">
      <c r="AB509" s="18"/>
      <c r="AC509" s="18"/>
    </row>
    <row r="510">
      <c r="AB510" s="18"/>
      <c r="AC510" s="18"/>
    </row>
    <row r="511">
      <c r="AB511" s="18"/>
      <c r="AC511" s="18"/>
    </row>
    <row r="512">
      <c r="AB512" s="18"/>
      <c r="AC512" s="18"/>
    </row>
    <row r="513">
      <c r="AB513" s="18"/>
      <c r="AC513" s="18"/>
    </row>
    <row r="514">
      <c r="AB514" s="18"/>
      <c r="AC514" s="18"/>
    </row>
    <row r="515">
      <c r="AB515" s="18"/>
      <c r="AC515" s="18"/>
    </row>
    <row r="516">
      <c r="AB516" s="18"/>
      <c r="AC516" s="18"/>
    </row>
    <row r="517">
      <c r="AB517" s="18"/>
      <c r="AC517" s="18"/>
    </row>
    <row r="518">
      <c r="AB518" s="18"/>
      <c r="AC518" s="18"/>
    </row>
    <row r="519">
      <c r="AB519" s="18"/>
      <c r="AC519" s="18"/>
    </row>
    <row r="520">
      <c r="AB520" s="18"/>
      <c r="AC520" s="18"/>
    </row>
    <row r="521">
      <c r="AB521" s="18"/>
      <c r="AC521" s="18"/>
    </row>
    <row r="522">
      <c r="AB522" s="18"/>
      <c r="AC522" s="18"/>
    </row>
    <row r="523">
      <c r="AB523" s="18"/>
      <c r="AC523" s="18"/>
    </row>
    <row r="524">
      <c r="AB524" s="18"/>
      <c r="AC524" s="18"/>
    </row>
    <row r="525">
      <c r="AB525" s="18"/>
      <c r="AC525" s="18"/>
    </row>
    <row r="526">
      <c r="AB526" s="18"/>
      <c r="AC526" s="18"/>
    </row>
    <row r="527">
      <c r="AB527" s="18"/>
      <c r="AC527" s="18"/>
    </row>
    <row r="528">
      <c r="AB528" s="18"/>
      <c r="AC528" s="18"/>
    </row>
    <row r="529">
      <c r="AB529" s="18"/>
      <c r="AC529" s="18"/>
    </row>
    <row r="530">
      <c r="AB530" s="18"/>
      <c r="AC530" s="18"/>
    </row>
    <row r="531">
      <c r="AB531" s="18"/>
      <c r="AC531" s="18"/>
    </row>
    <row r="532">
      <c r="AB532" s="18"/>
      <c r="AC532" s="18"/>
    </row>
    <row r="533">
      <c r="AB533" s="18"/>
      <c r="AC533" s="18"/>
    </row>
    <row r="534">
      <c r="AB534" s="18"/>
      <c r="AC534" s="18"/>
    </row>
    <row r="535">
      <c r="AB535" s="18"/>
      <c r="AC535" s="18"/>
    </row>
    <row r="536">
      <c r="AB536" s="18"/>
      <c r="AC536" s="18"/>
    </row>
    <row r="537">
      <c r="AB537" s="18"/>
      <c r="AC537" s="18"/>
    </row>
    <row r="538">
      <c r="AB538" s="18"/>
      <c r="AC538" s="18"/>
    </row>
    <row r="539">
      <c r="AB539" s="18"/>
      <c r="AC539" s="18"/>
    </row>
    <row r="540">
      <c r="AB540" s="18"/>
      <c r="AC540" s="18"/>
    </row>
    <row r="541">
      <c r="AB541" s="18"/>
      <c r="AC541" s="18"/>
    </row>
    <row r="542">
      <c r="AB542" s="18"/>
      <c r="AC542" s="18"/>
    </row>
    <row r="543">
      <c r="AB543" s="18"/>
      <c r="AC543" s="18"/>
    </row>
    <row r="544">
      <c r="AB544" s="18"/>
      <c r="AC544" s="18"/>
    </row>
    <row r="545">
      <c r="AB545" s="18"/>
      <c r="AC545" s="18"/>
    </row>
    <row r="546">
      <c r="AB546" s="18"/>
      <c r="AC546" s="18"/>
    </row>
    <row r="547">
      <c r="AB547" s="18"/>
      <c r="AC547" s="18"/>
    </row>
    <row r="548">
      <c r="AB548" s="18"/>
      <c r="AC548" s="18"/>
    </row>
    <row r="549">
      <c r="AB549" s="18"/>
      <c r="AC549" s="18"/>
    </row>
    <row r="550">
      <c r="AB550" s="18"/>
      <c r="AC550" s="18"/>
    </row>
    <row r="551">
      <c r="AB551" s="18"/>
      <c r="AC551" s="18"/>
    </row>
    <row r="552">
      <c r="AB552" s="18"/>
      <c r="AC552" s="18"/>
    </row>
    <row r="553">
      <c r="AB553" s="18"/>
      <c r="AC553" s="18"/>
    </row>
    <row r="554">
      <c r="AB554" s="18"/>
      <c r="AC554" s="18"/>
    </row>
    <row r="555">
      <c r="AB555" s="18"/>
      <c r="AC555" s="18"/>
    </row>
    <row r="556">
      <c r="AB556" s="18"/>
      <c r="AC556" s="18"/>
    </row>
    <row r="557">
      <c r="AB557" s="18"/>
      <c r="AC557" s="18"/>
    </row>
    <row r="558">
      <c r="AB558" s="18"/>
      <c r="AC558" s="18"/>
    </row>
    <row r="559">
      <c r="AB559" s="18"/>
      <c r="AC559" s="18"/>
    </row>
    <row r="560">
      <c r="AB560" s="18"/>
      <c r="AC560" s="18"/>
    </row>
    <row r="561">
      <c r="AB561" s="18"/>
      <c r="AC561" s="18"/>
    </row>
    <row r="562">
      <c r="AB562" s="18"/>
      <c r="AC562" s="18"/>
    </row>
    <row r="563">
      <c r="AB563" s="18"/>
      <c r="AC563" s="18"/>
    </row>
    <row r="564">
      <c r="AB564" s="18"/>
      <c r="AC564" s="18"/>
    </row>
    <row r="565">
      <c r="AB565" s="18"/>
      <c r="AC565" s="18"/>
    </row>
    <row r="566">
      <c r="AB566" s="18"/>
      <c r="AC566" s="18"/>
    </row>
    <row r="567">
      <c r="AB567" s="18"/>
      <c r="AC567" s="18"/>
    </row>
    <row r="568">
      <c r="AB568" s="18"/>
      <c r="AC568" s="18"/>
    </row>
    <row r="569">
      <c r="AB569" s="18"/>
      <c r="AC569" s="18"/>
    </row>
    <row r="570">
      <c r="AB570" s="18"/>
      <c r="AC570" s="18"/>
    </row>
    <row r="571">
      <c r="AB571" s="18"/>
      <c r="AC571" s="18"/>
    </row>
    <row r="572">
      <c r="AB572" s="18"/>
      <c r="AC572" s="18"/>
    </row>
    <row r="573">
      <c r="AB573" s="18"/>
      <c r="AC573" s="18"/>
    </row>
    <row r="574">
      <c r="AB574" s="18"/>
      <c r="AC574" s="18"/>
    </row>
    <row r="575">
      <c r="AB575" s="18"/>
      <c r="AC575" s="18"/>
    </row>
    <row r="576">
      <c r="AB576" s="18"/>
      <c r="AC576" s="18"/>
    </row>
    <row r="577">
      <c r="AB577" s="18"/>
      <c r="AC577" s="18"/>
    </row>
    <row r="578">
      <c r="AB578" s="18"/>
      <c r="AC578" s="18"/>
    </row>
    <row r="579">
      <c r="AB579" s="18"/>
      <c r="AC579" s="18"/>
    </row>
    <row r="580">
      <c r="AB580" s="18"/>
      <c r="AC580" s="18"/>
    </row>
    <row r="581">
      <c r="AB581" s="18"/>
      <c r="AC581" s="18"/>
    </row>
    <row r="582">
      <c r="AB582" s="18"/>
      <c r="AC582" s="18"/>
    </row>
    <row r="583">
      <c r="AB583" s="18"/>
      <c r="AC583" s="18"/>
    </row>
    <row r="584">
      <c r="AB584" s="18"/>
      <c r="AC584" s="18"/>
    </row>
    <row r="585">
      <c r="AB585" s="18"/>
      <c r="AC585" s="18"/>
    </row>
    <row r="586">
      <c r="AB586" s="18"/>
      <c r="AC586" s="18"/>
    </row>
    <row r="587">
      <c r="AB587" s="18"/>
      <c r="AC587" s="18"/>
    </row>
    <row r="588">
      <c r="AB588" s="18"/>
      <c r="AC588" s="18"/>
    </row>
    <row r="589">
      <c r="AB589" s="18"/>
      <c r="AC589" s="18"/>
    </row>
    <row r="590">
      <c r="AB590" s="18"/>
      <c r="AC590" s="18"/>
    </row>
    <row r="591">
      <c r="AB591" s="18"/>
      <c r="AC591" s="18"/>
    </row>
    <row r="592">
      <c r="AB592" s="18"/>
      <c r="AC592" s="18"/>
    </row>
    <row r="593">
      <c r="AB593" s="18"/>
      <c r="AC593" s="18"/>
    </row>
    <row r="594">
      <c r="AB594" s="18"/>
      <c r="AC594" s="18"/>
    </row>
    <row r="595">
      <c r="AB595" s="18"/>
      <c r="AC595" s="18"/>
    </row>
    <row r="596">
      <c r="AB596" s="18"/>
      <c r="AC596" s="18"/>
    </row>
    <row r="597">
      <c r="AB597" s="18"/>
      <c r="AC597" s="18"/>
    </row>
    <row r="598">
      <c r="AB598" s="18"/>
      <c r="AC598" s="18"/>
    </row>
    <row r="599">
      <c r="AB599" s="18"/>
      <c r="AC599" s="18"/>
    </row>
    <row r="600">
      <c r="AB600" s="18"/>
      <c r="AC600" s="18"/>
    </row>
    <row r="601">
      <c r="AB601" s="18"/>
      <c r="AC601" s="18"/>
    </row>
    <row r="602">
      <c r="AB602" s="18"/>
      <c r="AC602" s="18"/>
    </row>
    <row r="603">
      <c r="AB603" s="18"/>
      <c r="AC603" s="18"/>
    </row>
    <row r="604">
      <c r="AB604" s="18"/>
      <c r="AC604" s="18"/>
    </row>
    <row r="605">
      <c r="AB605" s="18"/>
      <c r="AC605" s="18"/>
    </row>
    <row r="606">
      <c r="AB606" s="18"/>
      <c r="AC606" s="18"/>
    </row>
    <row r="607">
      <c r="AB607" s="18"/>
      <c r="AC607" s="18"/>
    </row>
    <row r="608">
      <c r="AB608" s="18"/>
      <c r="AC608" s="18"/>
    </row>
    <row r="609">
      <c r="AB609" s="18"/>
      <c r="AC609" s="18"/>
    </row>
    <row r="610">
      <c r="AB610" s="18"/>
      <c r="AC610" s="18"/>
    </row>
    <row r="611">
      <c r="AB611" s="18"/>
      <c r="AC611" s="18"/>
    </row>
    <row r="612">
      <c r="AB612" s="18"/>
      <c r="AC612" s="18"/>
    </row>
    <row r="613">
      <c r="AB613" s="18"/>
      <c r="AC613" s="18"/>
    </row>
    <row r="614">
      <c r="AB614" s="18"/>
      <c r="AC614" s="18"/>
    </row>
    <row r="615">
      <c r="AB615" s="18"/>
      <c r="AC615" s="18"/>
    </row>
    <row r="616">
      <c r="AB616" s="18"/>
      <c r="AC616" s="18"/>
    </row>
    <row r="617">
      <c r="AB617" s="18"/>
      <c r="AC617" s="18"/>
    </row>
    <row r="618">
      <c r="AB618" s="18"/>
      <c r="AC618" s="18"/>
    </row>
    <row r="619">
      <c r="AB619" s="18"/>
      <c r="AC619" s="18"/>
    </row>
    <row r="620">
      <c r="AB620" s="18"/>
      <c r="AC620" s="18"/>
    </row>
    <row r="621">
      <c r="AB621" s="18"/>
      <c r="AC621" s="18"/>
    </row>
    <row r="622">
      <c r="AB622" s="18"/>
      <c r="AC622" s="18"/>
    </row>
    <row r="623">
      <c r="AB623" s="18"/>
      <c r="AC623" s="18"/>
    </row>
    <row r="624">
      <c r="AB624" s="18"/>
      <c r="AC624" s="18"/>
    </row>
    <row r="625">
      <c r="AB625" s="18"/>
      <c r="AC625" s="18"/>
    </row>
    <row r="626">
      <c r="AB626" s="18"/>
      <c r="AC626" s="18"/>
    </row>
    <row r="627">
      <c r="AB627" s="18"/>
      <c r="AC627" s="18"/>
    </row>
    <row r="628">
      <c r="AB628" s="18"/>
      <c r="AC628" s="18"/>
    </row>
    <row r="629">
      <c r="AB629" s="18"/>
      <c r="AC629" s="18"/>
    </row>
    <row r="630">
      <c r="AB630" s="18"/>
      <c r="AC630" s="18"/>
    </row>
    <row r="631">
      <c r="AB631" s="18"/>
      <c r="AC631" s="18"/>
    </row>
    <row r="632">
      <c r="AB632" s="18"/>
      <c r="AC632" s="18"/>
    </row>
    <row r="633">
      <c r="AB633" s="18"/>
      <c r="AC633" s="18"/>
    </row>
    <row r="634">
      <c r="AB634" s="18"/>
      <c r="AC634" s="18"/>
    </row>
    <row r="635">
      <c r="AB635" s="18"/>
      <c r="AC635" s="18"/>
    </row>
    <row r="636">
      <c r="AB636" s="18"/>
      <c r="AC636" s="18"/>
    </row>
    <row r="637">
      <c r="AB637" s="18"/>
      <c r="AC637" s="18"/>
    </row>
    <row r="638">
      <c r="AB638" s="18"/>
      <c r="AC638" s="18"/>
    </row>
    <row r="639">
      <c r="AB639" s="18"/>
      <c r="AC639" s="18"/>
    </row>
    <row r="640">
      <c r="AB640" s="18"/>
      <c r="AC640" s="18"/>
    </row>
    <row r="641">
      <c r="AB641" s="18"/>
      <c r="AC641" s="18"/>
    </row>
    <row r="642">
      <c r="AB642" s="18"/>
      <c r="AC642" s="18"/>
    </row>
    <row r="643">
      <c r="AB643" s="18"/>
      <c r="AC643" s="18"/>
    </row>
    <row r="644">
      <c r="AB644" s="18"/>
      <c r="AC644" s="18"/>
    </row>
    <row r="645">
      <c r="AB645" s="18"/>
      <c r="AC645" s="18"/>
    </row>
    <row r="646">
      <c r="AB646" s="18"/>
      <c r="AC646" s="18"/>
    </row>
    <row r="647">
      <c r="AB647" s="18"/>
      <c r="AC647" s="18"/>
    </row>
    <row r="648">
      <c r="AB648" s="18"/>
      <c r="AC648" s="18"/>
    </row>
    <row r="649">
      <c r="AB649" s="18"/>
      <c r="AC649" s="18"/>
    </row>
    <row r="650">
      <c r="AB650" s="18"/>
      <c r="AC650" s="18"/>
    </row>
    <row r="651">
      <c r="AB651" s="18"/>
      <c r="AC651" s="18"/>
    </row>
    <row r="652">
      <c r="AB652" s="18"/>
      <c r="AC652" s="18"/>
    </row>
    <row r="653">
      <c r="AB653" s="18"/>
      <c r="AC653" s="18"/>
    </row>
    <row r="654">
      <c r="AB654" s="18"/>
      <c r="AC654" s="18"/>
    </row>
    <row r="655">
      <c r="AB655" s="18"/>
      <c r="AC655" s="18"/>
    </row>
    <row r="656">
      <c r="AB656" s="18"/>
      <c r="AC656" s="18"/>
    </row>
    <row r="657">
      <c r="AB657" s="18"/>
      <c r="AC657" s="18"/>
    </row>
    <row r="658">
      <c r="AB658" s="18"/>
      <c r="AC658" s="18"/>
    </row>
    <row r="659">
      <c r="AB659" s="18"/>
      <c r="AC659" s="18"/>
    </row>
    <row r="660">
      <c r="AB660" s="18"/>
      <c r="AC660" s="18"/>
    </row>
    <row r="661">
      <c r="AB661" s="18"/>
      <c r="AC661" s="18"/>
    </row>
    <row r="662">
      <c r="AB662" s="18"/>
      <c r="AC662" s="18"/>
    </row>
    <row r="663">
      <c r="AB663" s="18"/>
      <c r="AC663" s="18"/>
    </row>
    <row r="664">
      <c r="AB664" s="18"/>
      <c r="AC664" s="18"/>
    </row>
    <row r="665">
      <c r="AB665" s="18"/>
      <c r="AC665" s="18"/>
    </row>
    <row r="666">
      <c r="AB666" s="18"/>
      <c r="AC666" s="18"/>
    </row>
    <row r="667">
      <c r="AB667" s="18"/>
      <c r="AC667" s="18"/>
    </row>
    <row r="668">
      <c r="AB668" s="18"/>
      <c r="AC668" s="18"/>
    </row>
    <row r="669">
      <c r="AB669" s="18"/>
      <c r="AC669" s="18"/>
    </row>
    <row r="670">
      <c r="AB670" s="18"/>
      <c r="AC670" s="18"/>
    </row>
    <row r="671">
      <c r="AB671" s="18"/>
      <c r="AC671" s="18"/>
    </row>
    <row r="672">
      <c r="AB672" s="18"/>
      <c r="AC672" s="18"/>
    </row>
    <row r="673">
      <c r="AB673" s="18"/>
      <c r="AC673" s="18"/>
    </row>
    <row r="674">
      <c r="AB674" s="18"/>
      <c r="AC674" s="18"/>
    </row>
    <row r="675">
      <c r="AB675" s="18"/>
      <c r="AC675" s="18"/>
    </row>
    <row r="676">
      <c r="AB676" s="18"/>
      <c r="AC676" s="18"/>
    </row>
    <row r="677">
      <c r="AB677" s="18"/>
      <c r="AC677" s="18"/>
    </row>
    <row r="678">
      <c r="AB678" s="18"/>
      <c r="AC678" s="18"/>
    </row>
    <row r="679">
      <c r="AB679" s="18"/>
      <c r="AC679" s="18"/>
    </row>
    <row r="680">
      <c r="AB680" s="18"/>
      <c r="AC680" s="18"/>
    </row>
    <row r="681">
      <c r="AB681" s="18"/>
      <c r="AC681" s="18"/>
    </row>
    <row r="682">
      <c r="AB682" s="18"/>
      <c r="AC682" s="18"/>
    </row>
    <row r="683">
      <c r="AB683" s="18"/>
      <c r="AC683" s="18"/>
    </row>
    <row r="684">
      <c r="AB684" s="18"/>
      <c r="AC684" s="18"/>
    </row>
    <row r="685">
      <c r="AB685" s="18"/>
      <c r="AC685" s="18"/>
    </row>
    <row r="686">
      <c r="AB686" s="18"/>
      <c r="AC686" s="18"/>
    </row>
    <row r="687">
      <c r="AB687" s="18"/>
      <c r="AC687" s="18"/>
    </row>
    <row r="688">
      <c r="AB688" s="18"/>
      <c r="AC688" s="18"/>
    </row>
    <row r="689">
      <c r="AB689" s="18"/>
      <c r="AC689" s="18"/>
    </row>
    <row r="690">
      <c r="AB690" s="18"/>
      <c r="AC690" s="18"/>
    </row>
    <row r="691">
      <c r="AB691" s="18"/>
      <c r="AC691" s="18"/>
    </row>
    <row r="692">
      <c r="AB692" s="18"/>
      <c r="AC692" s="18"/>
    </row>
    <row r="693">
      <c r="AB693" s="18"/>
      <c r="AC693" s="18"/>
    </row>
    <row r="694">
      <c r="AB694" s="18"/>
      <c r="AC694" s="18"/>
    </row>
    <row r="695">
      <c r="AB695" s="18"/>
      <c r="AC695" s="18"/>
    </row>
    <row r="696">
      <c r="AB696" s="18"/>
      <c r="AC696" s="18"/>
    </row>
    <row r="697">
      <c r="AB697" s="18"/>
      <c r="AC697" s="18"/>
    </row>
    <row r="698">
      <c r="AB698" s="18"/>
      <c r="AC698" s="18"/>
    </row>
    <row r="699">
      <c r="AB699" s="18"/>
      <c r="AC699" s="18"/>
    </row>
    <row r="700">
      <c r="AB700" s="18"/>
      <c r="AC700" s="18"/>
    </row>
    <row r="701">
      <c r="AB701" s="18"/>
      <c r="AC701" s="18"/>
    </row>
    <row r="702">
      <c r="AB702" s="18"/>
      <c r="AC702" s="18"/>
    </row>
    <row r="703">
      <c r="AB703" s="18"/>
      <c r="AC703" s="18"/>
    </row>
    <row r="704">
      <c r="AB704" s="18"/>
      <c r="AC704" s="18"/>
    </row>
    <row r="705">
      <c r="AB705" s="18"/>
      <c r="AC705" s="18"/>
    </row>
    <row r="706">
      <c r="AB706" s="18"/>
      <c r="AC706" s="18"/>
    </row>
    <row r="707">
      <c r="AB707" s="18"/>
      <c r="AC707" s="18"/>
    </row>
    <row r="708">
      <c r="AB708" s="18"/>
      <c r="AC708" s="18"/>
    </row>
    <row r="709">
      <c r="AB709" s="18"/>
      <c r="AC709" s="18"/>
    </row>
    <row r="710">
      <c r="AB710" s="18"/>
      <c r="AC710" s="18"/>
    </row>
    <row r="711">
      <c r="AB711" s="18"/>
      <c r="AC711" s="18"/>
    </row>
    <row r="712">
      <c r="AB712" s="18"/>
      <c r="AC712" s="18"/>
    </row>
    <row r="713">
      <c r="AB713" s="18"/>
      <c r="AC713" s="18"/>
    </row>
    <row r="714">
      <c r="AB714" s="18"/>
      <c r="AC714" s="18"/>
    </row>
    <row r="715">
      <c r="AB715" s="18"/>
      <c r="AC715" s="18"/>
    </row>
    <row r="716">
      <c r="AB716" s="18"/>
      <c r="AC716" s="18"/>
    </row>
    <row r="717">
      <c r="AB717" s="18"/>
      <c r="AC717" s="18"/>
    </row>
    <row r="718">
      <c r="AB718" s="18"/>
      <c r="AC718" s="18"/>
    </row>
    <row r="719">
      <c r="AB719" s="18"/>
      <c r="AC719" s="18"/>
    </row>
    <row r="720">
      <c r="AB720" s="18"/>
      <c r="AC720" s="18"/>
    </row>
    <row r="721">
      <c r="AB721" s="18"/>
      <c r="AC721" s="18"/>
    </row>
    <row r="722">
      <c r="AB722" s="18"/>
      <c r="AC722" s="18"/>
    </row>
    <row r="723">
      <c r="AB723" s="18"/>
      <c r="AC723" s="18"/>
    </row>
    <row r="724">
      <c r="AB724" s="18"/>
      <c r="AC724" s="18"/>
    </row>
    <row r="725">
      <c r="AB725" s="18"/>
      <c r="AC725" s="18"/>
    </row>
    <row r="726">
      <c r="AB726" s="18"/>
      <c r="AC726" s="18"/>
    </row>
    <row r="727">
      <c r="AB727" s="18"/>
      <c r="AC727" s="18"/>
    </row>
    <row r="728">
      <c r="AB728" s="18"/>
      <c r="AC728" s="18"/>
    </row>
    <row r="729">
      <c r="AB729" s="18"/>
      <c r="AC729" s="18"/>
    </row>
    <row r="730">
      <c r="AB730" s="18"/>
      <c r="AC730" s="18"/>
    </row>
    <row r="731">
      <c r="AB731" s="18"/>
      <c r="AC731" s="18"/>
    </row>
    <row r="732">
      <c r="AB732" s="18"/>
      <c r="AC732" s="18"/>
    </row>
    <row r="733">
      <c r="AB733" s="18"/>
      <c r="AC733" s="18"/>
    </row>
    <row r="734">
      <c r="AB734" s="18"/>
      <c r="AC734" s="18"/>
    </row>
    <row r="735">
      <c r="AB735" s="18"/>
      <c r="AC735" s="18"/>
    </row>
    <row r="736">
      <c r="AB736" s="18"/>
      <c r="AC736" s="18"/>
    </row>
    <row r="737">
      <c r="AB737" s="18"/>
      <c r="AC737" s="18"/>
    </row>
    <row r="738">
      <c r="AB738" s="18"/>
      <c r="AC738" s="18"/>
    </row>
    <row r="739">
      <c r="AB739" s="18"/>
      <c r="AC739" s="18"/>
    </row>
    <row r="740">
      <c r="AB740" s="18"/>
      <c r="AC740" s="18"/>
    </row>
    <row r="741">
      <c r="AB741" s="18"/>
      <c r="AC741" s="18"/>
    </row>
    <row r="742">
      <c r="AB742" s="18"/>
      <c r="AC742" s="18"/>
    </row>
    <row r="743">
      <c r="AB743" s="18"/>
      <c r="AC743" s="18"/>
    </row>
    <row r="744">
      <c r="AB744" s="18"/>
      <c r="AC744" s="18"/>
    </row>
    <row r="745">
      <c r="AB745" s="18"/>
      <c r="AC745" s="18"/>
    </row>
    <row r="746">
      <c r="AB746" s="18"/>
      <c r="AC746" s="18"/>
    </row>
    <row r="747">
      <c r="AB747" s="18"/>
      <c r="AC747" s="18"/>
    </row>
    <row r="748">
      <c r="AB748" s="18"/>
      <c r="AC748" s="18"/>
    </row>
    <row r="749">
      <c r="AB749" s="18"/>
      <c r="AC749" s="18"/>
    </row>
    <row r="750">
      <c r="AB750" s="18"/>
      <c r="AC750" s="18"/>
    </row>
    <row r="751">
      <c r="AB751" s="18"/>
      <c r="AC751" s="18"/>
    </row>
    <row r="752">
      <c r="AB752" s="18"/>
      <c r="AC752" s="18"/>
    </row>
    <row r="753">
      <c r="AB753" s="18"/>
      <c r="AC753" s="18"/>
    </row>
    <row r="754">
      <c r="AB754" s="18"/>
      <c r="AC754" s="18"/>
    </row>
    <row r="755">
      <c r="AB755" s="18"/>
      <c r="AC755" s="18"/>
    </row>
    <row r="756">
      <c r="AB756" s="18"/>
      <c r="AC756" s="18"/>
    </row>
    <row r="757">
      <c r="AB757" s="18"/>
      <c r="AC757" s="18"/>
    </row>
    <row r="758">
      <c r="AB758" s="18"/>
      <c r="AC758" s="18"/>
    </row>
    <row r="759">
      <c r="AB759" s="18"/>
      <c r="AC759" s="18"/>
    </row>
    <row r="760">
      <c r="AB760" s="18"/>
      <c r="AC760" s="18"/>
    </row>
    <row r="761">
      <c r="AB761" s="18"/>
      <c r="AC761" s="18"/>
    </row>
    <row r="762">
      <c r="AB762" s="18"/>
      <c r="AC762" s="18"/>
    </row>
    <row r="763">
      <c r="AB763" s="18"/>
      <c r="AC763" s="18"/>
    </row>
    <row r="764">
      <c r="AB764" s="18"/>
      <c r="AC764" s="18"/>
    </row>
    <row r="765">
      <c r="AB765" s="18"/>
      <c r="AC765" s="18"/>
    </row>
    <row r="766">
      <c r="AB766" s="18"/>
      <c r="AC766" s="18"/>
    </row>
    <row r="767">
      <c r="AB767" s="18"/>
      <c r="AC767" s="18"/>
    </row>
    <row r="768">
      <c r="AB768" s="18"/>
      <c r="AC768" s="18"/>
    </row>
    <row r="769">
      <c r="AB769" s="18"/>
      <c r="AC769" s="18"/>
    </row>
    <row r="770">
      <c r="AB770" s="18"/>
      <c r="AC770" s="18"/>
    </row>
    <row r="771">
      <c r="AB771" s="18"/>
      <c r="AC771" s="18"/>
    </row>
    <row r="772">
      <c r="AB772" s="18"/>
      <c r="AC772" s="18"/>
    </row>
    <row r="773">
      <c r="AB773" s="18"/>
      <c r="AC773" s="18"/>
    </row>
    <row r="774">
      <c r="AB774" s="18"/>
      <c r="AC774" s="18"/>
    </row>
    <row r="775">
      <c r="AB775" s="18"/>
      <c r="AC775" s="18"/>
    </row>
    <row r="776">
      <c r="AB776" s="18"/>
      <c r="AC776" s="18"/>
    </row>
    <row r="777">
      <c r="AB777" s="18"/>
      <c r="AC777" s="18"/>
    </row>
    <row r="778">
      <c r="AB778" s="18"/>
      <c r="AC778" s="18"/>
    </row>
    <row r="779">
      <c r="AB779" s="18"/>
      <c r="AC779" s="18"/>
    </row>
    <row r="780">
      <c r="AB780" s="18"/>
      <c r="AC780" s="18"/>
    </row>
    <row r="781">
      <c r="AB781" s="18"/>
      <c r="AC781" s="18"/>
    </row>
    <row r="782">
      <c r="AB782" s="18"/>
      <c r="AC782" s="18"/>
    </row>
    <row r="783">
      <c r="AB783" s="18"/>
      <c r="AC783" s="18"/>
    </row>
    <row r="784">
      <c r="AB784" s="18"/>
      <c r="AC784" s="18"/>
    </row>
    <row r="785">
      <c r="AB785" s="18"/>
      <c r="AC785" s="18"/>
    </row>
    <row r="786">
      <c r="AB786" s="18"/>
      <c r="AC786" s="18"/>
    </row>
    <row r="787">
      <c r="AB787" s="18"/>
      <c r="AC787" s="18"/>
    </row>
    <row r="788">
      <c r="AB788" s="18"/>
      <c r="AC788" s="18"/>
    </row>
    <row r="789">
      <c r="AB789" s="18"/>
      <c r="AC789" s="18"/>
    </row>
    <row r="790">
      <c r="AB790" s="18"/>
      <c r="AC790" s="18"/>
    </row>
    <row r="791">
      <c r="AB791" s="18"/>
      <c r="AC791" s="18"/>
    </row>
    <row r="792">
      <c r="AB792" s="18"/>
      <c r="AC792" s="18"/>
    </row>
    <row r="793">
      <c r="AB793" s="18"/>
      <c r="AC793" s="18"/>
    </row>
    <row r="794">
      <c r="AB794" s="18"/>
      <c r="AC794" s="18"/>
    </row>
    <row r="795">
      <c r="AB795" s="18"/>
      <c r="AC795" s="18"/>
    </row>
    <row r="796">
      <c r="AB796" s="18"/>
      <c r="AC796" s="18"/>
    </row>
    <row r="797">
      <c r="AB797" s="18"/>
      <c r="AC797" s="18"/>
    </row>
    <row r="798">
      <c r="AB798" s="18"/>
      <c r="AC798" s="18"/>
    </row>
    <row r="799">
      <c r="AB799" s="18"/>
      <c r="AC799" s="18"/>
    </row>
    <row r="800">
      <c r="AB800" s="18"/>
      <c r="AC800" s="18"/>
    </row>
    <row r="801">
      <c r="AB801" s="18"/>
      <c r="AC801" s="18"/>
    </row>
    <row r="802">
      <c r="AB802" s="18"/>
      <c r="AC802" s="18"/>
    </row>
    <row r="803">
      <c r="AB803" s="18"/>
      <c r="AC803" s="18"/>
    </row>
    <row r="804">
      <c r="AB804" s="18"/>
      <c r="AC804" s="18"/>
    </row>
    <row r="805">
      <c r="AB805" s="18"/>
      <c r="AC805" s="18"/>
    </row>
    <row r="806">
      <c r="AB806" s="18"/>
      <c r="AC806" s="18"/>
    </row>
    <row r="807">
      <c r="AB807" s="18"/>
      <c r="AC807" s="18"/>
    </row>
    <row r="808">
      <c r="AB808" s="18"/>
      <c r="AC808" s="18"/>
    </row>
    <row r="809">
      <c r="AB809" s="18"/>
      <c r="AC809" s="18"/>
    </row>
    <row r="810">
      <c r="AB810" s="18"/>
      <c r="AC810" s="18"/>
    </row>
    <row r="811">
      <c r="AB811" s="18"/>
      <c r="AC811" s="18"/>
    </row>
    <row r="812">
      <c r="AB812" s="18"/>
      <c r="AC812" s="18"/>
    </row>
    <row r="813">
      <c r="AB813" s="18"/>
      <c r="AC813" s="18"/>
    </row>
    <row r="814">
      <c r="AB814" s="18"/>
      <c r="AC814" s="18"/>
    </row>
    <row r="815">
      <c r="AB815" s="18"/>
      <c r="AC815" s="18"/>
    </row>
    <row r="816">
      <c r="AB816" s="18"/>
      <c r="AC816" s="18"/>
    </row>
    <row r="817">
      <c r="AB817" s="18"/>
      <c r="AC817" s="18"/>
    </row>
    <row r="818">
      <c r="AB818" s="18"/>
      <c r="AC818" s="18"/>
    </row>
    <row r="819">
      <c r="AB819" s="18"/>
      <c r="AC819" s="18"/>
    </row>
    <row r="820">
      <c r="AB820" s="18"/>
      <c r="AC820" s="18"/>
    </row>
    <row r="821">
      <c r="AB821" s="18"/>
      <c r="AC821" s="18"/>
    </row>
    <row r="822">
      <c r="AB822" s="18"/>
      <c r="AC822" s="18"/>
    </row>
    <row r="823">
      <c r="AB823" s="18"/>
      <c r="AC823" s="18"/>
    </row>
    <row r="824">
      <c r="AB824" s="18"/>
      <c r="AC824" s="18"/>
    </row>
    <row r="825">
      <c r="AB825" s="18"/>
      <c r="AC825" s="18"/>
    </row>
    <row r="826">
      <c r="AB826" s="18"/>
      <c r="AC826" s="18"/>
    </row>
    <row r="827">
      <c r="AB827" s="18"/>
      <c r="AC827" s="18"/>
    </row>
    <row r="828">
      <c r="AB828" s="18"/>
      <c r="AC828" s="18"/>
    </row>
    <row r="829">
      <c r="AB829" s="18"/>
      <c r="AC829" s="18"/>
    </row>
    <row r="830">
      <c r="AB830" s="18"/>
      <c r="AC830" s="18"/>
    </row>
    <row r="831">
      <c r="AB831" s="18"/>
      <c r="AC831" s="18"/>
    </row>
    <row r="832">
      <c r="AB832" s="18"/>
      <c r="AC832" s="18"/>
    </row>
    <row r="833">
      <c r="AB833" s="18"/>
      <c r="AC833" s="18"/>
    </row>
    <row r="834">
      <c r="AB834" s="18"/>
      <c r="AC834" s="18"/>
    </row>
    <row r="835">
      <c r="AB835" s="18"/>
      <c r="AC835" s="18"/>
    </row>
    <row r="836">
      <c r="AB836" s="18"/>
      <c r="AC836" s="18"/>
    </row>
    <row r="837">
      <c r="AB837" s="18"/>
      <c r="AC837" s="18"/>
    </row>
    <row r="838">
      <c r="AB838" s="18"/>
      <c r="AC838" s="18"/>
    </row>
    <row r="839">
      <c r="AB839" s="18"/>
      <c r="AC839" s="18"/>
    </row>
    <row r="840">
      <c r="AB840" s="18"/>
      <c r="AC840" s="18"/>
    </row>
    <row r="841">
      <c r="AB841" s="18"/>
      <c r="AC841" s="18"/>
    </row>
    <row r="842">
      <c r="AB842" s="18"/>
      <c r="AC842" s="18"/>
    </row>
    <row r="843">
      <c r="AB843" s="18"/>
      <c r="AC843" s="18"/>
    </row>
    <row r="844">
      <c r="AB844" s="18"/>
      <c r="AC844" s="18"/>
    </row>
    <row r="845">
      <c r="AB845" s="18"/>
      <c r="AC845" s="18"/>
    </row>
    <row r="846">
      <c r="AB846" s="18"/>
      <c r="AC846" s="18"/>
    </row>
    <row r="847">
      <c r="AB847" s="18"/>
      <c r="AC847" s="18"/>
    </row>
    <row r="848">
      <c r="AB848" s="18"/>
      <c r="AC848" s="18"/>
    </row>
    <row r="849">
      <c r="AB849" s="18"/>
      <c r="AC849" s="18"/>
    </row>
    <row r="850">
      <c r="AB850" s="18"/>
      <c r="AC850" s="18"/>
    </row>
    <row r="851">
      <c r="AB851" s="18"/>
      <c r="AC851" s="18"/>
    </row>
    <row r="852">
      <c r="AB852" s="18"/>
      <c r="AC852" s="18"/>
    </row>
    <row r="853">
      <c r="AB853" s="18"/>
      <c r="AC853" s="18"/>
    </row>
    <row r="854">
      <c r="AB854" s="18"/>
      <c r="AC854" s="18"/>
    </row>
    <row r="855">
      <c r="AB855" s="18"/>
      <c r="AC855" s="18"/>
    </row>
    <row r="856">
      <c r="AB856" s="18"/>
      <c r="AC856" s="18"/>
    </row>
    <row r="857">
      <c r="AB857" s="18"/>
      <c r="AC857" s="18"/>
    </row>
    <row r="858">
      <c r="AB858" s="18"/>
      <c r="AC858" s="18"/>
    </row>
    <row r="859">
      <c r="AB859" s="18"/>
      <c r="AC859" s="18"/>
    </row>
    <row r="860">
      <c r="AB860" s="18"/>
      <c r="AC860" s="18"/>
    </row>
    <row r="861">
      <c r="AB861" s="18"/>
      <c r="AC861" s="18"/>
    </row>
    <row r="862">
      <c r="AB862" s="18"/>
      <c r="AC862" s="18"/>
    </row>
    <row r="863">
      <c r="AB863" s="18"/>
      <c r="AC863" s="18"/>
    </row>
    <row r="864">
      <c r="AB864" s="18"/>
      <c r="AC864" s="18"/>
    </row>
    <row r="865">
      <c r="AB865" s="18"/>
      <c r="AC865" s="18"/>
    </row>
    <row r="866">
      <c r="AB866" s="18"/>
      <c r="AC866" s="18"/>
    </row>
    <row r="867">
      <c r="AB867" s="18"/>
      <c r="AC867" s="18"/>
    </row>
    <row r="868">
      <c r="AB868" s="18"/>
      <c r="AC868" s="18"/>
    </row>
    <row r="869">
      <c r="AB869" s="18"/>
      <c r="AC869" s="18"/>
    </row>
    <row r="870">
      <c r="AB870" s="18"/>
      <c r="AC870" s="18"/>
    </row>
    <row r="871">
      <c r="AB871" s="18"/>
      <c r="AC871" s="18"/>
    </row>
    <row r="872">
      <c r="AB872" s="18"/>
      <c r="AC872" s="18"/>
    </row>
    <row r="873">
      <c r="AB873" s="18"/>
      <c r="AC873" s="18"/>
    </row>
    <row r="874">
      <c r="AB874" s="18"/>
      <c r="AC874" s="18"/>
    </row>
    <row r="875">
      <c r="AB875" s="18"/>
      <c r="AC875" s="18"/>
    </row>
    <row r="876">
      <c r="AB876" s="18"/>
      <c r="AC876" s="18"/>
    </row>
    <row r="877">
      <c r="AB877" s="18"/>
      <c r="AC877" s="18"/>
    </row>
    <row r="878">
      <c r="AB878" s="18"/>
      <c r="AC878" s="18"/>
    </row>
    <row r="879">
      <c r="AB879" s="18"/>
      <c r="AC879" s="18"/>
    </row>
    <row r="880">
      <c r="AB880" s="18"/>
      <c r="AC880" s="18"/>
    </row>
    <row r="881">
      <c r="AB881" s="18"/>
      <c r="AC881" s="18"/>
    </row>
    <row r="882">
      <c r="AB882" s="18"/>
      <c r="AC882" s="18"/>
    </row>
    <row r="883">
      <c r="AB883" s="18"/>
      <c r="AC883" s="18"/>
    </row>
    <row r="884">
      <c r="AB884" s="18"/>
      <c r="AC884" s="18"/>
    </row>
    <row r="885">
      <c r="AB885" s="18"/>
      <c r="AC885" s="18"/>
    </row>
    <row r="886">
      <c r="AB886" s="18"/>
      <c r="AC886" s="18"/>
    </row>
    <row r="887">
      <c r="AB887" s="18"/>
      <c r="AC887" s="18"/>
    </row>
    <row r="888">
      <c r="AB888" s="18"/>
      <c r="AC888" s="18"/>
    </row>
    <row r="889">
      <c r="AB889" s="18"/>
      <c r="AC889" s="18"/>
    </row>
    <row r="890">
      <c r="AB890" s="18"/>
      <c r="AC890" s="18"/>
    </row>
    <row r="891">
      <c r="AB891" s="18"/>
      <c r="AC891" s="18"/>
    </row>
    <row r="892">
      <c r="AB892" s="18"/>
      <c r="AC892" s="18"/>
    </row>
    <row r="893">
      <c r="AB893" s="18"/>
      <c r="AC893" s="18"/>
    </row>
    <row r="894">
      <c r="AB894" s="18"/>
      <c r="AC894" s="18"/>
    </row>
    <row r="895">
      <c r="AB895" s="18"/>
      <c r="AC895" s="18"/>
    </row>
    <row r="896">
      <c r="AB896" s="18"/>
      <c r="AC896" s="18"/>
    </row>
    <row r="897">
      <c r="AB897" s="18"/>
      <c r="AC897" s="18"/>
    </row>
    <row r="898">
      <c r="AB898" s="18"/>
      <c r="AC898" s="18"/>
    </row>
    <row r="899">
      <c r="AB899" s="18"/>
      <c r="AC899" s="18"/>
    </row>
    <row r="900">
      <c r="AB900" s="18"/>
      <c r="AC900" s="18"/>
    </row>
    <row r="901">
      <c r="AB901" s="18"/>
      <c r="AC901" s="18"/>
    </row>
    <row r="902">
      <c r="AB902" s="18"/>
      <c r="AC902" s="18"/>
    </row>
    <row r="903">
      <c r="AB903" s="18"/>
      <c r="AC903" s="18"/>
    </row>
    <row r="904">
      <c r="AB904" s="18"/>
      <c r="AC904" s="18"/>
    </row>
    <row r="905">
      <c r="AB905" s="18"/>
      <c r="AC905" s="18"/>
    </row>
    <row r="906">
      <c r="AB906" s="18"/>
      <c r="AC906" s="18"/>
    </row>
    <row r="907">
      <c r="AB907" s="18"/>
      <c r="AC907" s="18"/>
    </row>
    <row r="908">
      <c r="AB908" s="18"/>
      <c r="AC908" s="18"/>
    </row>
    <row r="909">
      <c r="AB909" s="18"/>
      <c r="AC909" s="18"/>
    </row>
    <row r="910">
      <c r="AB910" s="18"/>
      <c r="AC910" s="18"/>
    </row>
    <row r="911">
      <c r="AB911" s="18"/>
      <c r="AC911" s="18"/>
    </row>
    <row r="912">
      <c r="AB912" s="18"/>
      <c r="AC912" s="18"/>
    </row>
    <row r="913">
      <c r="AB913" s="18"/>
      <c r="AC913" s="18"/>
    </row>
    <row r="914">
      <c r="AB914" s="18"/>
      <c r="AC914" s="18"/>
    </row>
    <row r="915">
      <c r="AB915" s="18"/>
      <c r="AC915" s="18"/>
    </row>
    <row r="916">
      <c r="AB916" s="18"/>
      <c r="AC916" s="18"/>
    </row>
    <row r="917">
      <c r="AB917" s="18"/>
      <c r="AC917" s="18"/>
    </row>
    <row r="918">
      <c r="AB918" s="18"/>
      <c r="AC918" s="18"/>
    </row>
    <row r="919">
      <c r="AB919" s="18"/>
      <c r="AC919" s="18"/>
    </row>
    <row r="920">
      <c r="AB920" s="18"/>
      <c r="AC920" s="18"/>
    </row>
    <row r="921">
      <c r="AB921" s="18"/>
      <c r="AC921" s="18"/>
    </row>
    <row r="922">
      <c r="AB922" s="18"/>
      <c r="AC922" s="18"/>
    </row>
    <row r="923">
      <c r="AB923" s="18"/>
      <c r="AC923" s="18"/>
    </row>
    <row r="924">
      <c r="AB924" s="18"/>
      <c r="AC924" s="18"/>
    </row>
    <row r="925">
      <c r="AB925" s="18"/>
      <c r="AC925" s="18"/>
    </row>
    <row r="926">
      <c r="AB926" s="18"/>
      <c r="AC926" s="18"/>
    </row>
    <row r="927">
      <c r="AB927" s="18"/>
      <c r="AC927" s="18"/>
    </row>
    <row r="928">
      <c r="AB928" s="18"/>
      <c r="AC928" s="18"/>
    </row>
    <row r="929">
      <c r="AB929" s="18"/>
      <c r="AC929" s="18"/>
    </row>
    <row r="930">
      <c r="AB930" s="18"/>
      <c r="AC930" s="18"/>
    </row>
    <row r="931">
      <c r="AB931" s="18"/>
      <c r="AC931" s="18"/>
    </row>
    <row r="932">
      <c r="AB932" s="18"/>
      <c r="AC932" s="18"/>
    </row>
    <row r="933">
      <c r="AB933" s="18"/>
      <c r="AC933" s="18"/>
    </row>
    <row r="934">
      <c r="AB934" s="18"/>
      <c r="AC934" s="18"/>
    </row>
    <row r="935">
      <c r="AB935" s="18"/>
      <c r="AC935" s="18"/>
    </row>
    <row r="936">
      <c r="AB936" s="18"/>
      <c r="AC936" s="18"/>
    </row>
    <row r="937">
      <c r="AB937" s="18"/>
      <c r="AC937" s="18"/>
    </row>
    <row r="938">
      <c r="AB938" s="18"/>
      <c r="AC938" s="18"/>
    </row>
    <row r="939">
      <c r="AB939" s="18"/>
      <c r="AC939" s="18"/>
    </row>
    <row r="940">
      <c r="AB940" s="18"/>
      <c r="AC940" s="18"/>
    </row>
    <row r="941">
      <c r="AB941" s="18"/>
      <c r="AC941" s="18"/>
    </row>
    <row r="942">
      <c r="AB942" s="18"/>
      <c r="AC942" s="18"/>
    </row>
    <row r="943">
      <c r="AB943" s="18"/>
      <c r="AC943" s="18"/>
    </row>
    <row r="944">
      <c r="AB944" s="18"/>
      <c r="AC944" s="18"/>
    </row>
    <row r="945">
      <c r="AB945" s="18"/>
      <c r="AC945" s="18"/>
    </row>
    <row r="946">
      <c r="AB946" s="18"/>
      <c r="AC946" s="18"/>
    </row>
    <row r="947">
      <c r="AB947" s="18"/>
      <c r="AC947" s="18"/>
    </row>
    <row r="948">
      <c r="AB948" s="18"/>
      <c r="AC948" s="18"/>
    </row>
    <row r="949">
      <c r="AB949" s="18"/>
      <c r="AC949" s="18"/>
    </row>
    <row r="950">
      <c r="AB950" s="18"/>
      <c r="AC950" s="18"/>
    </row>
    <row r="951">
      <c r="AB951" s="18"/>
      <c r="AC951" s="18"/>
    </row>
    <row r="952">
      <c r="AB952" s="18"/>
      <c r="AC952" s="18"/>
    </row>
    <row r="953">
      <c r="AB953" s="18"/>
      <c r="AC953" s="18"/>
    </row>
    <row r="954">
      <c r="AB954" s="18"/>
      <c r="AC954" s="18"/>
    </row>
    <row r="955">
      <c r="AB955" s="18"/>
      <c r="AC955" s="18"/>
    </row>
    <row r="956">
      <c r="AB956" s="18"/>
      <c r="AC956" s="18"/>
    </row>
    <row r="957">
      <c r="AB957" s="18"/>
      <c r="AC957" s="18"/>
    </row>
    <row r="958">
      <c r="AB958" s="18"/>
      <c r="AC958" s="18"/>
    </row>
    <row r="959">
      <c r="AB959" s="18"/>
      <c r="AC959" s="18"/>
    </row>
    <row r="960">
      <c r="AB960" s="18"/>
      <c r="AC960" s="18"/>
    </row>
    <row r="961">
      <c r="AB961" s="18"/>
      <c r="AC961" s="18"/>
    </row>
    <row r="962">
      <c r="AB962" s="18"/>
      <c r="AC962" s="18"/>
    </row>
    <row r="963">
      <c r="AB963" s="18"/>
      <c r="AC963" s="18"/>
    </row>
    <row r="964">
      <c r="AB964" s="18"/>
      <c r="AC964" s="18"/>
    </row>
    <row r="965">
      <c r="AB965" s="18"/>
      <c r="AC965" s="18"/>
    </row>
    <row r="966">
      <c r="AB966" s="18"/>
      <c r="AC966" s="18"/>
    </row>
    <row r="967">
      <c r="AB967" s="18"/>
      <c r="AC967" s="18"/>
    </row>
    <row r="968">
      <c r="AB968" s="18"/>
      <c r="AC968" s="18"/>
    </row>
    <row r="969">
      <c r="AB969" s="18"/>
      <c r="AC969" s="18"/>
    </row>
    <row r="970">
      <c r="AB970" s="18"/>
      <c r="AC970" s="18"/>
    </row>
    <row r="971">
      <c r="AB971" s="18"/>
      <c r="AC971" s="18"/>
    </row>
    <row r="972">
      <c r="AB972" s="18"/>
      <c r="AC972" s="18"/>
    </row>
    <row r="973">
      <c r="AB973" s="18"/>
      <c r="AC973" s="18"/>
    </row>
    <row r="974">
      <c r="AB974" s="18"/>
      <c r="AC974" s="18"/>
    </row>
    <row r="975">
      <c r="AB975" s="18"/>
      <c r="AC975" s="18"/>
    </row>
    <row r="976">
      <c r="AB976" s="18"/>
      <c r="AC976" s="18"/>
    </row>
    <row r="977">
      <c r="AB977" s="18"/>
      <c r="AC977" s="18"/>
    </row>
    <row r="978">
      <c r="AB978" s="18"/>
      <c r="AC978" s="18"/>
    </row>
    <row r="979">
      <c r="AB979" s="18"/>
      <c r="AC979" s="18"/>
    </row>
    <row r="980">
      <c r="AB980" s="18"/>
      <c r="AC980" s="18"/>
    </row>
    <row r="981">
      <c r="AB981" s="18"/>
      <c r="AC981" s="18"/>
    </row>
    <row r="982">
      <c r="AB982" s="18"/>
      <c r="AC982" s="18"/>
    </row>
    <row r="983">
      <c r="AB983" s="18"/>
      <c r="AC983" s="18"/>
    </row>
    <row r="984">
      <c r="AB984" s="18"/>
      <c r="AC984" s="18"/>
    </row>
    <row r="985">
      <c r="AB985" s="18"/>
      <c r="AC985" s="18"/>
    </row>
    <row r="986">
      <c r="AB986" s="18"/>
      <c r="AC986" s="18"/>
    </row>
    <row r="987">
      <c r="AB987" s="18"/>
      <c r="AC987" s="18"/>
    </row>
    <row r="988">
      <c r="AB988" s="18"/>
      <c r="AC988" s="18"/>
    </row>
    <row r="989">
      <c r="AB989" s="18"/>
      <c r="AC989" s="18"/>
    </row>
    <row r="990">
      <c r="AB990" s="18"/>
      <c r="AC990" s="18"/>
    </row>
    <row r="991">
      <c r="AB991" s="18"/>
      <c r="AC991" s="18"/>
    </row>
    <row r="992">
      <c r="AB992" s="18"/>
      <c r="AC992" s="18"/>
    </row>
    <row r="993">
      <c r="AB993" s="18"/>
      <c r="AC993" s="18"/>
    </row>
    <row r="994">
      <c r="AB994" s="18"/>
      <c r="AC994" s="18"/>
    </row>
    <row r="995">
      <c r="AB995" s="18"/>
      <c r="AC995" s="18"/>
    </row>
    <row r="996">
      <c r="AB996" s="18"/>
      <c r="AC996" s="18"/>
    </row>
    <row r="997">
      <c r="AB997" s="18"/>
      <c r="AC997" s="18"/>
    </row>
    <row r="998">
      <c r="AB998" s="18"/>
      <c r="AC998" s="18"/>
    </row>
    <row r="999">
      <c r="AB999" s="18"/>
      <c r="AC999" s="18"/>
    </row>
    <row r="1000">
      <c r="AB1000" s="18"/>
      <c r="AC1000" s="18"/>
    </row>
  </sheetData>
  <mergeCells count="2">
    <mergeCell ref="B1:N1"/>
    <mergeCell ref="O1:AA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5"/>
    <col customWidth="1" min="2" max="2" width="8.75"/>
    <col customWidth="1" min="3" max="3" width="22.25"/>
    <col customWidth="1" min="4" max="4" width="8.75"/>
    <col customWidth="1" min="5" max="5" width="30.63"/>
    <col customWidth="1" min="6" max="6" width="3.13"/>
    <col customWidth="1" min="7" max="7" width="9.88"/>
    <col customWidth="1" min="8" max="15" width="6.63"/>
    <col customWidth="1" min="16" max="31" width="8.75"/>
  </cols>
  <sheetData>
    <row r="1" ht="12.75" customHeight="1">
      <c r="A1" s="22" t="s">
        <v>54</v>
      </c>
      <c r="B1" s="54" t="s">
        <v>32</v>
      </c>
      <c r="C1" s="54" t="s">
        <v>33</v>
      </c>
      <c r="D1" s="54" t="s">
        <v>55</v>
      </c>
      <c r="E1" s="54" t="s">
        <v>56</v>
      </c>
      <c r="F1" s="22"/>
      <c r="G1" s="22" t="s">
        <v>57</v>
      </c>
    </row>
    <row r="2" ht="12.75" customHeight="1">
      <c r="A2" s="15">
        <v>44804.0</v>
      </c>
      <c r="B2" s="16">
        <v>22.0</v>
      </c>
      <c r="C2" s="48">
        <v>109.37</v>
      </c>
      <c r="D2" s="8">
        <f t="shared" ref="D2:D7" si="1">B2*C2*-1</f>
        <v>-2406.14</v>
      </c>
      <c r="G2" s="55"/>
      <c r="H2" s="56" t="s">
        <v>58</v>
      </c>
      <c r="I2" s="56" t="s">
        <v>59</v>
      </c>
      <c r="J2" s="56" t="s">
        <v>54</v>
      </c>
      <c r="K2" s="56" t="s">
        <v>60</v>
      </c>
      <c r="L2" s="56" t="s">
        <v>61</v>
      </c>
      <c r="M2" s="56" t="s">
        <v>62</v>
      </c>
      <c r="N2" s="56" t="s">
        <v>63</v>
      </c>
      <c r="O2" s="57" t="s">
        <v>64</v>
      </c>
      <c r="P2" s="56" t="s">
        <v>65</v>
      </c>
      <c r="Q2" s="55"/>
    </row>
    <row r="3" ht="12.75" customHeight="1">
      <c r="A3" s="15">
        <v>44806.0</v>
      </c>
      <c r="B3" s="16">
        <v>100.0</v>
      </c>
      <c r="C3" s="16">
        <v>108.0</v>
      </c>
      <c r="D3" s="8">
        <f t="shared" si="1"/>
        <v>-10800</v>
      </c>
      <c r="F3" s="22"/>
      <c r="G3" s="22">
        <v>2022.0</v>
      </c>
      <c r="H3" s="48">
        <v>3528.0</v>
      </c>
      <c r="I3" s="48">
        <v>228.0</v>
      </c>
      <c r="J3" s="48">
        <v>943.0</v>
      </c>
      <c r="K3" s="48"/>
      <c r="L3" s="48"/>
      <c r="M3" s="48"/>
      <c r="N3" s="48"/>
      <c r="O3" s="58">
        <v>667.0</v>
      </c>
      <c r="P3" s="48">
        <v>-282.0</v>
      </c>
      <c r="Q3" s="59">
        <f t="shared" ref="Q3:Q6" si="2">SUM(H3:P3)</f>
        <v>5084</v>
      </c>
    </row>
    <row r="4" ht="12.75" customHeight="1">
      <c r="A4" s="15">
        <v>45341.0</v>
      </c>
      <c r="B4" s="16">
        <v>-100.0</v>
      </c>
      <c r="C4" s="16">
        <v>140.0</v>
      </c>
      <c r="D4" s="8">
        <f t="shared" si="1"/>
        <v>14000</v>
      </c>
      <c r="F4" s="22"/>
      <c r="G4" s="22">
        <v>2023.0</v>
      </c>
      <c r="H4" s="48">
        <v>3805.0</v>
      </c>
      <c r="I4" s="48">
        <v>4275.0</v>
      </c>
      <c r="J4" s="48">
        <v>1019.0</v>
      </c>
      <c r="K4" s="48">
        <v>2040.0</v>
      </c>
      <c r="L4" s="48"/>
      <c r="M4" s="48"/>
      <c r="N4" s="48"/>
      <c r="O4" s="60"/>
      <c r="P4" s="48">
        <v>-3940.0</v>
      </c>
      <c r="Q4" s="59">
        <f t="shared" si="2"/>
        <v>7199</v>
      </c>
      <c r="R4" s="61">
        <f t="shared" ref="R4:R6" si="3">Q4/Q3-1</f>
        <v>0.4160110149</v>
      </c>
    </row>
    <row r="5" ht="12.75" customHeight="1">
      <c r="A5" s="15">
        <v>45492.0</v>
      </c>
      <c r="B5" s="16">
        <v>100.0</v>
      </c>
      <c r="C5" s="16">
        <v>180.0</v>
      </c>
      <c r="D5" s="8">
        <f t="shared" si="1"/>
        <v>-18000</v>
      </c>
      <c r="E5" s="16" t="s">
        <v>66</v>
      </c>
      <c r="F5" s="22"/>
      <c r="G5" s="22">
        <v>2024.0</v>
      </c>
      <c r="H5" s="48">
        <f>sumif('Options 2024'!B3:B108,"ASAN",'Options 2024'!Q3:Q108)</f>
        <v>2591.2</v>
      </c>
      <c r="I5" s="48">
        <f>sumif('Options 2024'!B3:B108,"CROX",'Options 2024'!Q3:Q108)</f>
        <v>3802.79</v>
      </c>
      <c r="J5" s="48">
        <f>sumif('Options 2024'!B3:B108,"GOOGL",'Options 2024'!Q3:Q108)</f>
        <v>2617.79</v>
      </c>
      <c r="K5" s="48">
        <f>sumif('Options 2024'!B3:B108,"AAPL",'Options 2024'!Q3:Q108)</f>
        <v>2708.72</v>
      </c>
      <c r="L5" s="34"/>
      <c r="M5" s="34"/>
      <c r="N5" s="34"/>
      <c r="O5" s="60"/>
      <c r="P5" s="34">
        <f>sum('Options 2024'!Q3:Q120)-sum(H5:K5)</f>
        <v>228.19</v>
      </c>
      <c r="Q5" s="59">
        <f t="shared" si="2"/>
        <v>11948.69</v>
      </c>
      <c r="R5" s="61">
        <f t="shared" si="3"/>
        <v>0.6597708015</v>
      </c>
    </row>
    <row r="6" ht="12.75" customHeight="1">
      <c r="A6" s="20">
        <v>45646.0</v>
      </c>
      <c r="B6" s="16">
        <v>-100.0</v>
      </c>
      <c r="C6" s="16">
        <v>187.5</v>
      </c>
      <c r="D6" s="8">
        <f t="shared" si="1"/>
        <v>18750</v>
      </c>
      <c r="F6" s="22"/>
      <c r="G6" s="22">
        <v>2025.0</v>
      </c>
      <c r="H6" s="34">
        <f>sumif('Options 2025'!B3:B169,H2,'Options 2025'!Q3:Q168)</f>
        <v>1088.45</v>
      </c>
      <c r="I6" s="34">
        <f>sumif('Options 2025'!B3:B169,I2,'Options 2025'!Q3:Q168)</f>
        <v>2257.24</v>
      </c>
      <c r="J6" s="34">
        <f>sumif('Options 2025'!B3:B169,J2,'Options 2025'!Q3:Q168)</f>
        <v>1150.44</v>
      </c>
      <c r="K6" s="34">
        <f>sumif('Options 2025'!B3:B169,K2,'Options 2025'!Q3:Q168)</f>
        <v>1049.6</v>
      </c>
      <c r="L6" s="34">
        <f>sumif('Options 2025'!B3:B169,L2,'Options 2025'!Q3:Q168)</f>
        <v>3300.7</v>
      </c>
      <c r="M6" s="34">
        <f>sumif('Options 2025'!$B3:$B169,M2,'Options 2025'!$Q3:$Q168)</f>
        <v>2062.78</v>
      </c>
      <c r="N6" s="34">
        <f>sumif('Options 2025'!B3:B169,N2,'Options 2025'!Q3:Q168)</f>
        <v>2006.85</v>
      </c>
      <c r="O6" s="62"/>
      <c r="P6" s="34">
        <f>sum('Options 2025'!Q3:Q181)-sum(H6:N6)</f>
        <v>11039.07</v>
      </c>
      <c r="Q6" s="59">
        <f t="shared" si="2"/>
        <v>23955.13</v>
      </c>
      <c r="R6" s="61">
        <f t="shared" si="3"/>
        <v>1.004833166</v>
      </c>
    </row>
    <row r="7" ht="12.75" customHeight="1">
      <c r="A7" s="15">
        <v>45678.0</v>
      </c>
      <c r="B7" s="16">
        <v>100.0</v>
      </c>
      <c r="C7" s="16">
        <v>180.0</v>
      </c>
      <c r="D7" s="8">
        <f t="shared" si="1"/>
        <v>-18000</v>
      </c>
      <c r="E7" s="16" t="s">
        <v>66</v>
      </c>
      <c r="F7" s="22"/>
      <c r="G7" s="22" t="s">
        <v>17</v>
      </c>
      <c r="H7" s="59">
        <f t="shared" ref="H7:Q7" si="4">SUM(H3:H6)</f>
        <v>11012.65</v>
      </c>
      <c r="I7" s="59">
        <f t="shared" si="4"/>
        <v>10563.03</v>
      </c>
      <c r="J7" s="59">
        <f t="shared" si="4"/>
        <v>5730.23</v>
      </c>
      <c r="K7" s="59">
        <f t="shared" si="4"/>
        <v>5798.32</v>
      </c>
      <c r="L7" s="59">
        <f t="shared" si="4"/>
        <v>3300.7</v>
      </c>
      <c r="M7" s="59">
        <f t="shared" si="4"/>
        <v>2062.78</v>
      </c>
      <c r="N7" s="59">
        <f t="shared" si="4"/>
        <v>2006.85</v>
      </c>
      <c r="O7" s="62">
        <f t="shared" si="4"/>
        <v>667</v>
      </c>
      <c r="P7" s="59">
        <f t="shared" si="4"/>
        <v>7045.26</v>
      </c>
      <c r="Q7" s="59">
        <f t="shared" si="4"/>
        <v>48186.82</v>
      </c>
    </row>
    <row r="8" ht="12.75" customHeight="1">
      <c r="A8" s="15"/>
      <c r="B8" s="41">
        <f>SUM(B2:B7)</f>
        <v>122</v>
      </c>
      <c r="D8" s="41">
        <f>SUM(D2:D7)</f>
        <v>-16456.14</v>
      </c>
      <c r="O8" s="63"/>
    </row>
    <row r="9" ht="12.75" customHeight="1">
      <c r="F9" s="22"/>
      <c r="G9" s="22" t="s">
        <v>67</v>
      </c>
      <c r="H9" s="34">
        <f>IFERROR(__xludf.DUMMYFUNCTION("D30+B30*GOOGLEFINANCE(H2, ""price"")"),-11158.0)</f>
        <v>-11158</v>
      </c>
      <c r="I9" s="34">
        <f>IFERROR(__xludf.DUMMYFUNCTION("D63+GOOGLEFINANCE(I2, ""price"")*B63"),-3070.290000000001)</f>
        <v>-3070.29</v>
      </c>
      <c r="J9" s="34">
        <f>IFERROR(__xludf.DUMMYFUNCTION("D8+GOOGLEFINANCE(J2, ""price"")*B8"),22605.82)</f>
        <v>22605.82</v>
      </c>
      <c r="K9" s="34">
        <f>IFERROR(__xludf.DUMMYFUNCTION("D121+GOOGLEFINANCE(K2,""Price"")*B121"),7385.000000000004)</f>
        <v>7385</v>
      </c>
      <c r="L9" s="34">
        <f>IFERROR(__xludf.DUMMYFUNCTION("D66+GOOGLEFINANCE(L2,""Price"")*B66"),4473.0)</f>
        <v>4473</v>
      </c>
      <c r="M9" s="34">
        <f>IFERROR(__xludf.DUMMYFUNCTION("D80+GOOGLEFINANCE(M2,""Price"")*B80"),-840.0)</f>
        <v>-840</v>
      </c>
      <c r="N9" s="34">
        <f>IFERROR(__xludf.DUMMYFUNCTION("D74+GOOGLEFINANCE(N2,""Price"")*B74"),5698.0)</f>
        <v>5698</v>
      </c>
      <c r="O9" s="60">
        <f>D169</f>
        <v>-10112.52</v>
      </c>
      <c r="P9" s="34"/>
      <c r="Q9" s="59">
        <f>SUM(H9:P9)</f>
        <v>14981.01</v>
      </c>
    </row>
    <row r="10" ht="12.75" customHeight="1">
      <c r="A10" s="22" t="s">
        <v>58</v>
      </c>
      <c r="B10" s="54" t="s">
        <v>32</v>
      </c>
      <c r="C10" s="54" t="s">
        <v>33</v>
      </c>
      <c r="D10" s="54" t="s">
        <v>55</v>
      </c>
      <c r="E10" s="54" t="s">
        <v>56</v>
      </c>
      <c r="O10" s="63"/>
    </row>
    <row r="11" ht="12.75" customHeight="1">
      <c r="A11" s="15">
        <v>44592.0</v>
      </c>
      <c r="B11" s="16">
        <v>45.0</v>
      </c>
      <c r="C11" s="48">
        <v>52.08</v>
      </c>
      <c r="D11" s="8">
        <f t="shared" ref="D11:D21" si="6">B11*C11*-1</f>
        <v>-2343.6</v>
      </c>
      <c r="E11" s="44" t="s">
        <v>68</v>
      </c>
      <c r="F11" s="22"/>
      <c r="G11" s="22" t="s">
        <v>69</v>
      </c>
      <c r="H11" s="59">
        <f t="shared" ref="H11:P11" si="5">H7+H9</f>
        <v>-145.35</v>
      </c>
      <c r="I11" s="59">
        <f t="shared" si="5"/>
        <v>7492.74</v>
      </c>
      <c r="J11" s="59">
        <f t="shared" si="5"/>
        <v>28336.05</v>
      </c>
      <c r="K11" s="59">
        <f t="shared" si="5"/>
        <v>13183.32</v>
      </c>
      <c r="L11" s="59">
        <f t="shared" si="5"/>
        <v>7773.7</v>
      </c>
      <c r="M11" s="59">
        <f t="shared" si="5"/>
        <v>1222.78</v>
      </c>
      <c r="N11" s="59">
        <f t="shared" si="5"/>
        <v>7704.85</v>
      </c>
      <c r="O11" s="62">
        <f t="shared" si="5"/>
        <v>-9445.52</v>
      </c>
      <c r="P11" s="59">
        <f t="shared" si="5"/>
        <v>7045.26</v>
      </c>
      <c r="Q11" s="64">
        <f>sum(H11:P11)</f>
        <v>63167.83</v>
      </c>
    </row>
    <row r="12" ht="12.75" customHeight="1">
      <c r="B12" s="16">
        <v>55.0</v>
      </c>
      <c r="C12" s="48">
        <v>48.48</v>
      </c>
      <c r="D12" s="8">
        <f t="shared" si="6"/>
        <v>-2666.4</v>
      </c>
      <c r="E12" s="44" t="s">
        <v>68</v>
      </c>
    </row>
    <row r="13" ht="12.75" customHeight="1">
      <c r="A13" s="15">
        <v>44638.0</v>
      </c>
      <c r="B13" s="16">
        <v>100.0</v>
      </c>
      <c r="C13" s="16">
        <v>50.0</v>
      </c>
      <c r="D13" s="8">
        <f t="shared" si="6"/>
        <v>-5000</v>
      </c>
      <c r="E13" s="44" t="s">
        <v>68</v>
      </c>
    </row>
    <row r="14" ht="12.75" customHeight="1">
      <c r="A14" s="15">
        <v>44665.0</v>
      </c>
      <c r="B14" s="16">
        <v>100.0</v>
      </c>
      <c r="C14" s="16">
        <v>35.0</v>
      </c>
      <c r="D14" s="8">
        <f t="shared" si="6"/>
        <v>-3500</v>
      </c>
      <c r="E14" s="65" t="s">
        <v>68</v>
      </c>
    </row>
    <row r="15" ht="12.75" customHeight="1">
      <c r="A15" s="15">
        <v>44701.0</v>
      </c>
      <c r="B15" s="16">
        <v>100.0</v>
      </c>
      <c r="C15" s="16">
        <v>25.0</v>
      </c>
      <c r="D15" s="8">
        <f t="shared" si="6"/>
        <v>-2500</v>
      </c>
      <c r="E15" s="65" t="s">
        <v>70</v>
      </c>
    </row>
    <row r="16" ht="12.75" customHeight="1">
      <c r="A16" s="20">
        <v>44911.0</v>
      </c>
      <c r="B16" s="65">
        <v>1000.0</v>
      </c>
      <c r="C16" s="65">
        <v>15.0</v>
      </c>
      <c r="D16" s="66">
        <f t="shared" si="6"/>
        <v>-15000</v>
      </c>
      <c r="E16" s="65" t="s">
        <v>68</v>
      </c>
    </row>
    <row r="17" ht="12.75" customHeight="1">
      <c r="A17" s="15">
        <v>44975.0</v>
      </c>
      <c r="B17" s="65">
        <v>-400.0</v>
      </c>
      <c r="C17" s="65">
        <v>15.0</v>
      </c>
      <c r="D17" s="66">
        <f t="shared" si="6"/>
        <v>6000</v>
      </c>
      <c r="E17" s="16" t="s">
        <v>71</v>
      </c>
    </row>
    <row r="18" ht="12.75" customHeight="1">
      <c r="A18" s="15">
        <v>45002.0</v>
      </c>
      <c r="B18" s="65">
        <v>-600.0</v>
      </c>
      <c r="C18" s="65">
        <v>16.0</v>
      </c>
      <c r="D18" s="66">
        <f t="shared" si="6"/>
        <v>9600</v>
      </c>
      <c r="E18" s="16" t="s">
        <v>71</v>
      </c>
    </row>
    <row r="19" ht="12.75" customHeight="1">
      <c r="A19" s="15">
        <v>45037.0</v>
      </c>
      <c r="B19" s="16">
        <v>300.0</v>
      </c>
      <c r="C19" s="16">
        <v>20.0</v>
      </c>
      <c r="D19" s="8">
        <f t="shared" si="6"/>
        <v>-6000</v>
      </c>
      <c r="E19" s="16" t="s">
        <v>66</v>
      </c>
    </row>
    <row r="20" ht="12.75" customHeight="1">
      <c r="A20" s="15">
        <v>45094.0</v>
      </c>
      <c r="B20" s="16">
        <v>-300.0</v>
      </c>
      <c r="C20" s="16">
        <v>20.0</v>
      </c>
      <c r="D20" s="66">
        <f t="shared" si="6"/>
        <v>6000</v>
      </c>
      <c r="E20" s="16" t="s">
        <v>72</v>
      </c>
    </row>
    <row r="21" ht="12.75" customHeight="1">
      <c r="A21" s="20">
        <v>45247.0</v>
      </c>
      <c r="B21" s="16">
        <v>-400.0</v>
      </c>
      <c r="C21" s="16">
        <v>17.5</v>
      </c>
      <c r="D21" s="8">
        <f t="shared" si="6"/>
        <v>7000</v>
      </c>
      <c r="E21" s="16" t="s">
        <v>66</v>
      </c>
    </row>
    <row r="22" ht="12.75" customHeight="1">
      <c r="A22" s="20">
        <v>45366.0</v>
      </c>
      <c r="B22" s="16">
        <v>200.0</v>
      </c>
      <c r="C22" s="16">
        <v>17.5</v>
      </c>
      <c r="D22" s="8">
        <f t="shared" ref="D22:D29" si="7">C22*B22*-1</f>
        <v>-3500</v>
      </c>
      <c r="E22" s="16" t="s">
        <v>66</v>
      </c>
    </row>
    <row r="23" ht="12.75" customHeight="1">
      <c r="A23" s="20">
        <v>45366.0</v>
      </c>
      <c r="B23" s="16">
        <v>200.0</v>
      </c>
      <c r="C23" s="16">
        <v>17.0</v>
      </c>
      <c r="D23" s="8">
        <f t="shared" si="7"/>
        <v>-3400</v>
      </c>
      <c r="E23" s="16" t="s">
        <v>66</v>
      </c>
    </row>
    <row r="24" ht="12.75" customHeight="1">
      <c r="A24" s="15">
        <v>45401.0</v>
      </c>
      <c r="B24" s="16">
        <v>400.0</v>
      </c>
      <c r="C24" s="16">
        <v>15.0</v>
      </c>
      <c r="D24" s="8">
        <f t="shared" si="7"/>
        <v>-6000</v>
      </c>
      <c r="E24" s="16" t="s">
        <v>66</v>
      </c>
    </row>
    <row r="25" ht="12.75" customHeight="1">
      <c r="A25" s="15">
        <v>45429.0</v>
      </c>
      <c r="B25" s="16">
        <v>-400.0</v>
      </c>
      <c r="C25" s="16">
        <v>15.5</v>
      </c>
      <c r="D25" s="8">
        <f t="shared" si="7"/>
        <v>6200</v>
      </c>
      <c r="E25" s="16" t="s">
        <v>72</v>
      </c>
    </row>
    <row r="26" ht="12.75" customHeight="1">
      <c r="A26" s="15">
        <v>45521.0</v>
      </c>
      <c r="B26" s="16">
        <v>400.0</v>
      </c>
      <c r="C26" s="16">
        <v>14.0</v>
      </c>
      <c r="D26" s="8">
        <f t="shared" si="7"/>
        <v>-5600</v>
      </c>
      <c r="E26" s="16" t="s">
        <v>66</v>
      </c>
    </row>
    <row r="27" ht="12.75" customHeight="1">
      <c r="A27" s="15">
        <v>45611.0</v>
      </c>
      <c r="B27" s="16">
        <v>-400.0</v>
      </c>
      <c r="C27" s="16">
        <v>12.5</v>
      </c>
      <c r="D27" s="8">
        <f t="shared" si="7"/>
        <v>5000</v>
      </c>
      <c r="E27" s="16" t="s">
        <v>72</v>
      </c>
    </row>
    <row r="28" ht="12.75" customHeight="1">
      <c r="A28" s="20">
        <v>45646.0</v>
      </c>
      <c r="B28" s="16">
        <v>-400.0</v>
      </c>
      <c r="C28" s="16">
        <v>16.0</v>
      </c>
      <c r="D28" s="8">
        <f t="shared" si="7"/>
        <v>6400</v>
      </c>
      <c r="E28" s="16" t="s">
        <v>72</v>
      </c>
    </row>
    <row r="29" ht="12.75" customHeight="1">
      <c r="A29" s="15">
        <v>45729.0</v>
      </c>
      <c r="B29" s="16">
        <v>400.0</v>
      </c>
      <c r="C29" s="16">
        <v>17.5</v>
      </c>
      <c r="D29" s="8">
        <f t="shared" si="7"/>
        <v>-7000</v>
      </c>
      <c r="E29" s="16" t="s">
        <v>66</v>
      </c>
    </row>
    <row r="30" ht="12.75" customHeight="1">
      <c r="A30" s="41"/>
      <c r="B30" s="41">
        <f>SUM(B11:B29)</f>
        <v>400</v>
      </c>
      <c r="C30" s="41"/>
      <c r="D30" s="41">
        <f>SUM(D11:D29)</f>
        <v>-16310</v>
      </c>
    </row>
    <row r="31" ht="12.75" customHeight="1">
      <c r="E31" s="44"/>
    </row>
    <row r="32" ht="12.75" customHeight="1">
      <c r="A32" s="54" t="s">
        <v>73</v>
      </c>
      <c r="B32" s="54" t="s">
        <v>32</v>
      </c>
      <c r="C32" s="54" t="s">
        <v>33</v>
      </c>
      <c r="D32" s="54" t="s">
        <v>55</v>
      </c>
      <c r="E32" s="54" t="s">
        <v>56</v>
      </c>
    </row>
    <row r="33" ht="12.75" customHeight="1">
      <c r="A33" s="15">
        <v>45982.0</v>
      </c>
      <c r="B33" s="16">
        <v>300.0</v>
      </c>
      <c r="C33" s="16">
        <v>62.0</v>
      </c>
      <c r="D33" s="8">
        <f>-B33*C33</f>
        <v>-18600</v>
      </c>
      <c r="E33" s="16" t="s">
        <v>66</v>
      </c>
    </row>
    <row r="34" ht="12.75" customHeight="1">
      <c r="A34" s="22"/>
      <c r="B34" s="41"/>
      <c r="C34" s="41"/>
      <c r="D34" s="41"/>
    </row>
    <row r="35" ht="12.75" customHeight="1">
      <c r="A35" s="22" t="s">
        <v>17</v>
      </c>
      <c r="B35" s="41">
        <f>sum(B33:B34)</f>
        <v>300</v>
      </c>
      <c r="C35" s="41"/>
      <c r="D35" s="41">
        <f>sum(D33:D34)</f>
        <v>-18600</v>
      </c>
    </row>
    <row r="36" ht="12.75" customHeight="1">
      <c r="E36" s="44"/>
    </row>
    <row r="37" ht="12.75" customHeight="1">
      <c r="A37" s="54" t="s">
        <v>74</v>
      </c>
      <c r="B37" s="54" t="s">
        <v>32</v>
      </c>
      <c r="C37" s="54" t="s">
        <v>33</v>
      </c>
      <c r="D37" s="54" t="s">
        <v>55</v>
      </c>
      <c r="E37" s="54" t="s">
        <v>56</v>
      </c>
    </row>
    <row r="38" ht="12.75" customHeight="1">
      <c r="A38" s="15">
        <v>45982.0</v>
      </c>
      <c r="B38" s="16">
        <v>100.0</v>
      </c>
      <c r="C38" s="16">
        <v>150.0</v>
      </c>
      <c r="D38" s="8">
        <f>-B38*C38</f>
        <v>-15000</v>
      </c>
      <c r="E38" s="16" t="s">
        <v>66</v>
      </c>
    </row>
    <row r="39" ht="12.75" customHeight="1">
      <c r="A39" s="22"/>
      <c r="B39" s="41"/>
      <c r="C39" s="41"/>
      <c r="D39" s="41"/>
    </row>
    <row r="40" ht="12.75" customHeight="1">
      <c r="A40" s="22" t="s">
        <v>17</v>
      </c>
      <c r="B40" s="41">
        <f>sum(B38:B39)</f>
        <v>100</v>
      </c>
      <c r="C40" s="41"/>
      <c r="D40" s="41">
        <f>sum(D38:D39)</f>
        <v>-15000</v>
      </c>
    </row>
    <row r="41" ht="12.75" customHeight="1">
      <c r="E41" s="44"/>
    </row>
    <row r="42" ht="12.75" customHeight="1">
      <c r="A42" s="54" t="s">
        <v>75</v>
      </c>
      <c r="B42" s="54" t="s">
        <v>32</v>
      </c>
      <c r="C42" s="54" t="s">
        <v>33</v>
      </c>
      <c r="D42" s="54" t="s">
        <v>55</v>
      </c>
      <c r="E42" s="54" t="s">
        <v>56</v>
      </c>
    </row>
    <row r="43" ht="12.75" customHeight="1">
      <c r="A43" s="15">
        <v>45982.0</v>
      </c>
      <c r="B43" s="16">
        <v>200.0</v>
      </c>
      <c r="C43" s="16">
        <v>80.0</v>
      </c>
      <c r="D43" s="8">
        <f>-B43*C43</f>
        <v>-16000</v>
      </c>
      <c r="E43" s="16" t="s">
        <v>66</v>
      </c>
    </row>
    <row r="44" ht="12.75" customHeight="1">
      <c r="A44" s="22"/>
      <c r="B44" s="41"/>
      <c r="C44" s="41"/>
      <c r="D44" s="41"/>
    </row>
    <row r="45" ht="12.75" customHeight="1">
      <c r="A45" s="22" t="s">
        <v>17</v>
      </c>
      <c r="B45" s="41">
        <f>sum(B43:B44)</f>
        <v>200</v>
      </c>
      <c r="C45" s="41"/>
      <c r="D45" s="41">
        <f>sum(D43:D44)</f>
        <v>-16000</v>
      </c>
    </row>
    <row r="46" ht="12.75" customHeight="1">
      <c r="E46" s="44"/>
    </row>
    <row r="47" ht="12.75" customHeight="1">
      <c r="E47" s="44"/>
    </row>
    <row r="48" ht="12.75" customHeight="1">
      <c r="A48" s="22" t="s">
        <v>59</v>
      </c>
      <c r="B48" s="54" t="s">
        <v>32</v>
      </c>
      <c r="C48" s="54" t="s">
        <v>33</v>
      </c>
      <c r="D48" s="54" t="s">
        <v>55</v>
      </c>
      <c r="E48" s="54" t="s">
        <v>56</v>
      </c>
    </row>
    <row r="49" ht="12.75" customHeight="1">
      <c r="A49" s="15">
        <v>44474.0</v>
      </c>
      <c r="B49" s="16">
        <v>19.0</v>
      </c>
      <c r="C49" s="48">
        <v>138.08</v>
      </c>
      <c r="D49" s="34">
        <f t="shared" ref="D49:D57" si="8">B49*C49*-1</f>
        <v>-2623.52</v>
      </c>
      <c r="E49" s="44"/>
    </row>
    <row r="50" ht="12.75" customHeight="1">
      <c r="A50" s="15">
        <v>44491.0</v>
      </c>
      <c r="B50" s="16">
        <v>19.0</v>
      </c>
      <c r="C50" s="48">
        <v>153.83</v>
      </c>
      <c r="D50" s="34">
        <f t="shared" si="8"/>
        <v>-2922.77</v>
      </c>
      <c r="E50" s="67" t="s">
        <v>68</v>
      </c>
    </row>
    <row r="51" ht="12.75" customHeight="1">
      <c r="A51" s="15">
        <v>44615.0</v>
      </c>
      <c r="B51" s="16">
        <v>62.0</v>
      </c>
      <c r="C51" s="16">
        <v>81.0</v>
      </c>
      <c r="D51" s="8">
        <f t="shared" si="8"/>
        <v>-5022</v>
      </c>
      <c r="E51" s="16" t="s">
        <v>70</v>
      </c>
    </row>
    <row r="52" ht="12.75" customHeight="1">
      <c r="A52" s="15">
        <v>44701.0</v>
      </c>
      <c r="B52" s="16">
        <v>100.0</v>
      </c>
      <c r="C52" s="16">
        <v>60.0</v>
      </c>
      <c r="D52" s="8">
        <f t="shared" si="8"/>
        <v>-6000</v>
      </c>
    </row>
    <row r="53" ht="12.75" customHeight="1">
      <c r="A53" s="15">
        <v>44792.0</v>
      </c>
      <c r="B53" s="16">
        <v>-100.0</v>
      </c>
      <c r="C53" s="16">
        <v>60.0</v>
      </c>
      <c r="D53" s="8">
        <f t="shared" si="8"/>
        <v>6000</v>
      </c>
      <c r="E53" s="16" t="s">
        <v>76</v>
      </c>
    </row>
    <row r="54" ht="12.75" customHeight="1">
      <c r="A54" s="15">
        <v>44975.0</v>
      </c>
      <c r="B54" s="16">
        <v>-100.0</v>
      </c>
      <c r="C54" s="16">
        <v>130.0</v>
      </c>
      <c r="D54" s="8">
        <f t="shared" si="8"/>
        <v>13000</v>
      </c>
      <c r="E54" s="16" t="s">
        <v>76</v>
      </c>
    </row>
    <row r="55" ht="12.75" customHeight="1">
      <c r="A55" s="15">
        <v>45002.0</v>
      </c>
      <c r="B55" s="16">
        <v>100.0</v>
      </c>
      <c r="C55" s="16">
        <v>120.0</v>
      </c>
      <c r="D55" s="8">
        <f t="shared" si="8"/>
        <v>-12000</v>
      </c>
      <c r="E55" s="16" t="s">
        <v>72</v>
      </c>
    </row>
    <row r="56" ht="12.75" customHeight="1">
      <c r="A56" s="15">
        <v>45156.0</v>
      </c>
      <c r="B56" s="16">
        <v>100.0</v>
      </c>
      <c r="C56" s="16">
        <v>95.0</v>
      </c>
      <c r="D56" s="8">
        <f t="shared" si="8"/>
        <v>-9500</v>
      </c>
      <c r="E56" s="16" t="s">
        <v>66</v>
      </c>
    </row>
    <row r="57" ht="12.75" customHeight="1">
      <c r="A57" s="68">
        <v>45338.0</v>
      </c>
      <c r="B57" s="16">
        <v>-200.0</v>
      </c>
      <c r="C57" s="16">
        <v>110.0</v>
      </c>
      <c r="D57" s="8">
        <f t="shared" si="8"/>
        <v>22000</v>
      </c>
      <c r="E57" s="16" t="s">
        <v>72</v>
      </c>
    </row>
    <row r="58" ht="12.75" customHeight="1">
      <c r="A58" s="15">
        <v>45399.0</v>
      </c>
      <c r="B58" s="16">
        <v>100.0</v>
      </c>
      <c r="C58" s="16">
        <v>135.0</v>
      </c>
      <c r="D58" s="8">
        <f t="shared" ref="D58:D62" si="9">-B58*C58</f>
        <v>-13500</v>
      </c>
      <c r="E58" s="16" t="s">
        <v>66</v>
      </c>
    </row>
    <row r="59" ht="12.75" customHeight="1">
      <c r="A59" s="15">
        <v>45429.0</v>
      </c>
      <c r="B59" s="16">
        <v>-100.0</v>
      </c>
      <c r="C59" s="16">
        <v>140.0</v>
      </c>
      <c r="D59" s="8">
        <f t="shared" si="9"/>
        <v>14000</v>
      </c>
      <c r="E59" s="16" t="s">
        <v>72</v>
      </c>
    </row>
    <row r="60" ht="12.75" customHeight="1">
      <c r="A60" s="15">
        <v>45492.0</v>
      </c>
      <c r="B60" s="16">
        <v>100.0</v>
      </c>
      <c r="C60" s="16">
        <v>150.0</v>
      </c>
      <c r="D60" s="8">
        <f t="shared" si="9"/>
        <v>-15000</v>
      </c>
      <c r="E60" s="16" t="s">
        <v>66</v>
      </c>
    </row>
    <row r="61" ht="12.75" customHeight="1">
      <c r="A61" s="15">
        <v>45611.0</v>
      </c>
      <c r="B61" s="16">
        <v>100.0</v>
      </c>
      <c r="C61" s="16">
        <v>105.0</v>
      </c>
      <c r="D61" s="8">
        <f t="shared" si="9"/>
        <v>-10500</v>
      </c>
      <c r="E61" s="16" t="s">
        <v>66</v>
      </c>
    </row>
    <row r="62" ht="12.75" customHeight="1">
      <c r="A62" s="15">
        <v>45646.0</v>
      </c>
      <c r="B62" s="16">
        <v>-100.0</v>
      </c>
      <c r="C62" s="16">
        <v>105.0</v>
      </c>
      <c r="D62" s="8">
        <f t="shared" si="9"/>
        <v>10500</v>
      </c>
      <c r="E62" s="16" t="s">
        <v>72</v>
      </c>
    </row>
    <row r="63" ht="12.75" customHeight="1">
      <c r="A63" s="22" t="s">
        <v>17</v>
      </c>
      <c r="B63" s="41">
        <f>SUM(B49:B62)</f>
        <v>100</v>
      </c>
      <c r="C63" s="41"/>
      <c r="D63" s="59">
        <f>SUM(D49:D62)</f>
        <v>-11568.29</v>
      </c>
    </row>
    <row r="64" ht="12.75" customHeight="1"/>
    <row r="65" ht="12.75" customHeight="1">
      <c r="A65" s="54" t="s">
        <v>61</v>
      </c>
      <c r="B65" s="54" t="s">
        <v>32</v>
      </c>
      <c r="C65" s="54" t="s">
        <v>33</v>
      </c>
      <c r="D65" s="54" t="s">
        <v>55</v>
      </c>
      <c r="E65" s="54" t="s">
        <v>56</v>
      </c>
    </row>
    <row r="66" ht="12.75" customHeight="1">
      <c r="A66" s="15">
        <v>45737.0</v>
      </c>
      <c r="B66" s="16">
        <v>100.0</v>
      </c>
      <c r="C66" s="16">
        <v>220.0</v>
      </c>
      <c r="D66" s="8">
        <f>-B66*C66</f>
        <v>-22000</v>
      </c>
      <c r="E66" s="16" t="s">
        <v>66</v>
      </c>
    </row>
    <row r="67" ht="12.75" customHeight="1">
      <c r="A67" s="22"/>
      <c r="B67" s="41"/>
      <c r="C67" s="41"/>
      <c r="D67" s="41"/>
    </row>
    <row r="68" ht="12.75" customHeight="1">
      <c r="A68" s="22" t="s">
        <v>17</v>
      </c>
      <c r="B68" s="41">
        <f>sum(B66:B67)</f>
        <v>100</v>
      </c>
      <c r="C68" s="41"/>
      <c r="D68" s="41">
        <f>sum(D66:D67)</f>
        <v>-22000</v>
      </c>
    </row>
    <row r="69" ht="12.75" customHeight="1">
      <c r="A69" s="22"/>
      <c r="B69" s="41"/>
      <c r="C69" s="41"/>
      <c r="D69" s="41"/>
    </row>
    <row r="70" ht="12.75" customHeight="1">
      <c r="A70" s="22"/>
      <c r="B70" s="41"/>
      <c r="C70" s="41"/>
      <c r="D70" s="41"/>
    </row>
    <row r="71" ht="12.75" customHeight="1">
      <c r="A71" s="22" t="s">
        <v>63</v>
      </c>
      <c r="B71" s="54" t="s">
        <v>32</v>
      </c>
      <c r="C71" s="54" t="s">
        <v>33</v>
      </c>
      <c r="D71" s="54" t="s">
        <v>55</v>
      </c>
      <c r="E71" s="54" t="s">
        <v>56</v>
      </c>
    </row>
    <row r="72" ht="12.75" customHeight="1">
      <c r="A72" s="15">
        <v>45737.0</v>
      </c>
      <c r="B72" s="16">
        <v>100.0</v>
      </c>
      <c r="C72" s="16">
        <v>120.0</v>
      </c>
      <c r="D72" s="8">
        <f>-B72*C72</f>
        <v>-12000</v>
      </c>
      <c r="E72" s="16" t="s">
        <v>66</v>
      </c>
    </row>
    <row r="73" ht="12.75" customHeight="1">
      <c r="A73" s="22"/>
      <c r="B73" s="41"/>
      <c r="C73" s="41"/>
      <c r="D73" s="41"/>
    </row>
    <row r="74" ht="12.75" customHeight="1">
      <c r="A74" s="22" t="s">
        <v>17</v>
      </c>
      <c r="B74" s="41">
        <f>sum(B72:B73)</f>
        <v>100</v>
      </c>
      <c r="C74" s="41"/>
      <c r="D74" s="41">
        <f>sum(D72:D73)</f>
        <v>-12000</v>
      </c>
    </row>
    <row r="75" ht="12.75" customHeight="1">
      <c r="A75" s="22"/>
      <c r="B75" s="41"/>
      <c r="C75" s="41"/>
      <c r="D75" s="41"/>
    </row>
    <row r="76" ht="12.75" customHeight="1">
      <c r="A76" s="54" t="s">
        <v>62</v>
      </c>
      <c r="B76" s="54" t="s">
        <v>32</v>
      </c>
      <c r="C76" s="54" t="s">
        <v>33</v>
      </c>
      <c r="D76" s="54" t="s">
        <v>55</v>
      </c>
      <c r="E76" s="54" t="s">
        <v>56</v>
      </c>
    </row>
    <row r="77" ht="12.75" customHeight="1">
      <c r="A77" s="15">
        <v>45764.0</v>
      </c>
      <c r="B77" s="16">
        <v>400.0</v>
      </c>
      <c r="C77" s="16">
        <v>7.5</v>
      </c>
      <c r="D77" s="8">
        <f t="shared" ref="D77:D79" si="10">-B77*C77</f>
        <v>-3000</v>
      </c>
      <c r="E77" s="16" t="s">
        <v>66</v>
      </c>
    </row>
    <row r="78" ht="12.75" customHeight="1">
      <c r="A78" s="15">
        <v>45856.0</v>
      </c>
      <c r="B78" s="16">
        <v>-400.0</v>
      </c>
      <c r="C78" s="16">
        <v>8.0</v>
      </c>
      <c r="D78" s="8">
        <f t="shared" si="10"/>
        <v>3200</v>
      </c>
      <c r="E78" s="16" t="s">
        <v>72</v>
      </c>
    </row>
    <row r="79" ht="12.75" customHeight="1">
      <c r="A79" s="20">
        <v>45982.0</v>
      </c>
      <c r="B79" s="16">
        <v>500.0</v>
      </c>
      <c r="C79" s="16">
        <v>9.5</v>
      </c>
      <c r="D79" s="8">
        <f t="shared" si="10"/>
        <v>-4750</v>
      </c>
    </row>
    <row r="80" ht="12.75" customHeight="1">
      <c r="A80" s="22" t="s">
        <v>17</v>
      </c>
      <c r="B80" s="41">
        <f>sum(B77:B79)</f>
        <v>500</v>
      </c>
      <c r="C80" s="41"/>
      <c r="D80" s="41">
        <f>sum(D77:D79)</f>
        <v>-4550</v>
      </c>
    </row>
    <row r="81" ht="12.75" customHeight="1">
      <c r="A81" s="22"/>
      <c r="B81" s="41"/>
      <c r="C81" s="41"/>
      <c r="D81" s="41"/>
    </row>
    <row r="82" ht="12.75" customHeight="1">
      <c r="A82" s="69" t="s">
        <v>77</v>
      </c>
      <c r="B82" s="54" t="s">
        <v>32</v>
      </c>
      <c r="C82" s="54" t="s">
        <v>33</v>
      </c>
      <c r="D82" s="54" t="s">
        <v>55</v>
      </c>
      <c r="E82" s="54" t="s">
        <v>56</v>
      </c>
    </row>
    <row r="83" ht="12.75" customHeight="1">
      <c r="A83" s="15">
        <v>45856.0</v>
      </c>
      <c r="B83" s="16">
        <v>100.0</v>
      </c>
      <c r="C83" s="48">
        <v>59.0</v>
      </c>
      <c r="D83" s="8">
        <f t="shared" ref="D83:D84" si="11">-B83*C83</f>
        <v>-5900</v>
      </c>
      <c r="E83" s="16" t="s">
        <v>66</v>
      </c>
    </row>
    <row r="84" ht="12.75" customHeight="1">
      <c r="A84" s="15">
        <v>45920.0</v>
      </c>
      <c r="B84" s="16">
        <v>-100.0</v>
      </c>
      <c r="C84" s="48">
        <v>73.0</v>
      </c>
      <c r="D84" s="8">
        <f t="shared" si="11"/>
        <v>7300</v>
      </c>
      <c r="E84" s="16" t="s">
        <v>72</v>
      </c>
    </row>
    <row r="85" ht="12.75" customHeight="1">
      <c r="A85" s="15"/>
      <c r="C85" s="48"/>
      <c r="D85" s="59">
        <f>sum(D83:D84)</f>
        <v>1400</v>
      </c>
    </row>
    <row r="86" ht="12.75" customHeight="1">
      <c r="A86" s="15"/>
      <c r="C86" s="48"/>
      <c r="D86" s="34"/>
    </row>
    <row r="87" ht="12.75" customHeight="1">
      <c r="A87" s="69" t="s">
        <v>78</v>
      </c>
      <c r="B87" s="54" t="s">
        <v>32</v>
      </c>
      <c r="C87" s="54" t="s">
        <v>33</v>
      </c>
      <c r="D87" s="54" t="s">
        <v>55</v>
      </c>
      <c r="E87" s="54" t="s">
        <v>56</v>
      </c>
    </row>
    <row r="88" ht="12.75" customHeight="1">
      <c r="A88" s="15">
        <v>45856.0</v>
      </c>
      <c r="B88" s="16">
        <v>100.0</v>
      </c>
      <c r="C88" s="48">
        <v>97.5</v>
      </c>
      <c r="D88" s="8">
        <f>-B88*C88</f>
        <v>-9750</v>
      </c>
      <c r="E88" s="16" t="s">
        <v>66</v>
      </c>
    </row>
    <row r="89" ht="12.75" customHeight="1">
      <c r="A89" s="22"/>
      <c r="B89" s="24"/>
      <c r="C89" s="24"/>
      <c r="D89" s="24"/>
      <c r="E89" s="24"/>
    </row>
    <row r="90" ht="12.75" customHeight="1">
      <c r="A90" s="22"/>
      <c r="B90" s="24"/>
      <c r="C90" s="24"/>
      <c r="D90" s="24"/>
      <c r="E90" s="24"/>
    </row>
    <row r="91" ht="12.75" customHeight="1">
      <c r="A91" s="22"/>
      <c r="B91" s="24"/>
      <c r="C91" s="24"/>
      <c r="D91" s="24"/>
      <c r="E91" s="24"/>
    </row>
    <row r="92" ht="12.75" customHeight="1">
      <c r="A92" s="69" t="s">
        <v>2</v>
      </c>
      <c r="B92" s="54" t="s">
        <v>32</v>
      </c>
      <c r="C92" s="54" t="s">
        <v>33</v>
      </c>
      <c r="D92" s="54" t="s">
        <v>55</v>
      </c>
      <c r="E92" s="54" t="s">
        <v>56</v>
      </c>
    </row>
    <row r="93" ht="12.75" customHeight="1">
      <c r="A93" s="15">
        <v>45516.0</v>
      </c>
      <c r="B93" s="16">
        <v>12.0</v>
      </c>
      <c r="C93" s="16">
        <v>228.0</v>
      </c>
      <c r="D93" s="8">
        <f>B93*C93</f>
        <v>2736</v>
      </c>
    </row>
    <row r="94" ht="12.75" customHeight="1"/>
    <row r="95" ht="12.75" customHeight="1">
      <c r="E95" s="70"/>
    </row>
    <row r="96" ht="12.75" customHeight="1">
      <c r="E96" s="70"/>
    </row>
    <row r="97" ht="12.75" customHeight="1">
      <c r="A97" s="71" t="s">
        <v>79</v>
      </c>
      <c r="B97" s="54" t="s">
        <v>32</v>
      </c>
      <c r="C97" s="54" t="s">
        <v>33</v>
      </c>
      <c r="D97" s="54" t="s">
        <v>55</v>
      </c>
      <c r="E97" s="54" t="s">
        <v>56</v>
      </c>
    </row>
    <row r="98" ht="12.75" customHeight="1">
      <c r="A98" s="7">
        <v>44431.0</v>
      </c>
      <c r="B98" s="70">
        <v>10.0</v>
      </c>
      <c r="C98" s="72">
        <v>207.65</v>
      </c>
      <c r="D98" s="72">
        <f>-B98*C98</f>
        <v>-2076.5</v>
      </c>
    </row>
    <row r="99" ht="12.75" customHeight="1">
      <c r="A99" s="73">
        <v>44684.0</v>
      </c>
      <c r="B99" s="74">
        <v>-10.0</v>
      </c>
      <c r="C99" s="75">
        <v>247.805</v>
      </c>
      <c r="D99" s="72">
        <f>-B99*C99-1.01</f>
        <v>2477.04</v>
      </c>
    </row>
    <row r="100" ht="12.75" customHeight="1">
      <c r="A100" s="20">
        <v>45022.0</v>
      </c>
      <c r="B100" s="16">
        <v>11.0</v>
      </c>
      <c r="C100" s="48">
        <v>264.92</v>
      </c>
      <c r="D100" s="72">
        <f>-B100*C100</f>
        <v>-2914.12</v>
      </c>
    </row>
    <row r="101" ht="12.75" customHeight="1">
      <c r="A101" s="15">
        <v>45418.0</v>
      </c>
      <c r="B101" s="16">
        <v>-11.0</v>
      </c>
      <c r="C101" s="16">
        <v>341.25</v>
      </c>
      <c r="D101" s="48">
        <v>3765.11</v>
      </c>
    </row>
    <row r="102" ht="12.75" customHeight="1">
      <c r="B102" s="41">
        <f>sum(B98:B101)</f>
        <v>0</v>
      </c>
      <c r="D102" s="59">
        <f>SUM(D98:D101)</f>
        <v>1251.53</v>
      </c>
    </row>
    <row r="103" ht="12.75" customHeight="1">
      <c r="A103" s="22" t="s">
        <v>80</v>
      </c>
      <c r="B103" s="54" t="s">
        <v>32</v>
      </c>
      <c r="C103" s="54" t="s">
        <v>33</v>
      </c>
      <c r="D103" s="54" t="s">
        <v>55</v>
      </c>
      <c r="E103" s="54" t="s">
        <v>56</v>
      </c>
    </row>
    <row r="104" ht="12.75" customHeight="1">
      <c r="A104" s="15">
        <v>45804.0</v>
      </c>
      <c r="B104" s="16">
        <v>190.0</v>
      </c>
      <c r="C104" s="16">
        <v>26.2</v>
      </c>
      <c r="D104" s="70">
        <f>B104*C104</f>
        <v>4978</v>
      </c>
    </row>
    <row r="105" ht="12.75" customHeight="1"/>
    <row r="106" ht="12.75" customHeight="1">
      <c r="A106" s="22"/>
      <c r="B106" s="54"/>
      <c r="C106" s="54"/>
      <c r="D106" s="54"/>
      <c r="E106" s="54"/>
    </row>
    <row r="107" ht="12.75" customHeight="1">
      <c r="A107" s="22" t="s">
        <v>81</v>
      </c>
      <c r="B107" s="54" t="s">
        <v>32</v>
      </c>
      <c r="C107" s="54" t="s">
        <v>33</v>
      </c>
      <c r="D107" s="54" t="s">
        <v>55</v>
      </c>
      <c r="E107" s="54" t="s">
        <v>56</v>
      </c>
    </row>
    <row r="108" ht="12.75" customHeight="1">
      <c r="B108" s="16">
        <v>7.0</v>
      </c>
      <c r="C108" s="16">
        <v>283.84</v>
      </c>
      <c r="D108" s="70">
        <f>B108*C108</f>
        <v>1986.88</v>
      </c>
    </row>
    <row r="109" ht="12.75" customHeight="1"/>
    <row r="110" ht="12.75" customHeight="1">
      <c r="A110" s="22" t="s">
        <v>60</v>
      </c>
      <c r="B110" s="54" t="s">
        <v>32</v>
      </c>
      <c r="C110" s="54" t="s">
        <v>33</v>
      </c>
      <c r="D110" s="54" t="s">
        <v>55</v>
      </c>
      <c r="E110" s="54" t="s">
        <v>56</v>
      </c>
    </row>
    <row r="111" ht="12.75" customHeight="1">
      <c r="A111" s="15">
        <v>45156.0</v>
      </c>
      <c r="B111" s="16">
        <v>100.0</v>
      </c>
      <c r="C111" s="16">
        <v>180.0</v>
      </c>
      <c r="D111" s="70">
        <f t="shared" ref="D111:D119" si="12">B111*C111*-1</f>
        <v>-18000</v>
      </c>
      <c r="E111" s="16" t="s">
        <v>66</v>
      </c>
      <c r="R111" s="41"/>
      <c r="S111" s="41"/>
      <c r="T111" s="41"/>
      <c r="U111" s="41"/>
      <c r="V111" s="41"/>
      <c r="W111" s="41"/>
      <c r="X111" s="41"/>
      <c r="Y111" s="41"/>
      <c r="Z111" s="41"/>
      <c r="AA111" s="41"/>
      <c r="AB111" s="41"/>
      <c r="AC111" s="41"/>
      <c r="AD111" s="41"/>
      <c r="AE111" s="41"/>
    </row>
    <row r="112" ht="12.75" customHeight="1">
      <c r="A112" s="20">
        <v>45240.0</v>
      </c>
      <c r="B112" s="16">
        <v>-100.0</v>
      </c>
      <c r="C112" s="16">
        <v>190.0</v>
      </c>
      <c r="D112" s="70">
        <f t="shared" si="12"/>
        <v>19000</v>
      </c>
      <c r="E112" s="16" t="s">
        <v>72</v>
      </c>
      <c r="F112" s="41"/>
      <c r="G112" s="41"/>
      <c r="H112" s="41"/>
      <c r="I112" s="41"/>
      <c r="J112" s="41"/>
      <c r="K112" s="41"/>
      <c r="L112" s="41"/>
      <c r="M112" s="41"/>
      <c r="N112" s="41"/>
      <c r="O112" s="41"/>
      <c r="P112" s="41"/>
      <c r="Q112" s="41"/>
    </row>
    <row r="113" ht="12.75" customHeight="1">
      <c r="A113" s="15">
        <v>45310.0</v>
      </c>
      <c r="B113" s="16">
        <v>100.0</v>
      </c>
      <c r="C113" s="16">
        <v>190.0</v>
      </c>
      <c r="D113" s="70">
        <f t="shared" si="12"/>
        <v>-19000</v>
      </c>
      <c r="E113" s="16" t="s">
        <v>66</v>
      </c>
    </row>
    <row r="114" ht="12.75" customHeight="1">
      <c r="A114" s="15">
        <v>45401.0</v>
      </c>
      <c r="B114" s="16">
        <v>100.0</v>
      </c>
      <c r="C114" s="16">
        <v>167.5</v>
      </c>
      <c r="D114" s="70">
        <f t="shared" si="12"/>
        <v>-16750</v>
      </c>
      <c r="E114" s="16" t="s">
        <v>66</v>
      </c>
    </row>
    <row r="115" ht="12.75" customHeight="1">
      <c r="A115" s="15">
        <v>45429.0</v>
      </c>
      <c r="B115" s="16">
        <v>-100.0</v>
      </c>
      <c r="C115" s="16">
        <v>175.0</v>
      </c>
      <c r="D115" s="70">
        <f t="shared" si="12"/>
        <v>17500</v>
      </c>
      <c r="E115" s="16" t="s">
        <v>72</v>
      </c>
    </row>
    <row r="116" ht="12.75" customHeight="1">
      <c r="A116" s="15">
        <v>45465.0</v>
      </c>
      <c r="B116" s="16">
        <v>-100.0</v>
      </c>
      <c r="C116" s="16">
        <v>202.5</v>
      </c>
      <c r="D116" s="70">
        <f t="shared" si="12"/>
        <v>20250</v>
      </c>
      <c r="E116" s="16" t="s">
        <v>72</v>
      </c>
    </row>
    <row r="117" ht="12.75" customHeight="1">
      <c r="A117" s="15">
        <v>45492.0</v>
      </c>
      <c r="B117" s="16">
        <v>100.0</v>
      </c>
      <c r="C117" s="16">
        <v>227.5</v>
      </c>
      <c r="D117" s="70">
        <f t="shared" si="12"/>
        <v>-22750</v>
      </c>
      <c r="E117" s="16" t="s">
        <v>66</v>
      </c>
    </row>
    <row r="118" ht="12.75" customHeight="1">
      <c r="A118" s="20">
        <v>45583.0</v>
      </c>
      <c r="B118" s="16">
        <v>-100.0</v>
      </c>
      <c r="C118" s="16">
        <v>230.0</v>
      </c>
      <c r="D118" s="70">
        <f t="shared" si="12"/>
        <v>23000</v>
      </c>
      <c r="E118" s="16" t="s">
        <v>72</v>
      </c>
    </row>
    <row r="119" ht="12.75" customHeight="1">
      <c r="A119" s="20">
        <v>45729.0</v>
      </c>
      <c r="B119" s="16">
        <v>100.0</v>
      </c>
      <c r="C119" s="16">
        <v>237.5</v>
      </c>
      <c r="D119" s="70">
        <f t="shared" si="12"/>
        <v>-23750</v>
      </c>
      <c r="E119" s="16" t="s">
        <v>66</v>
      </c>
    </row>
    <row r="120" ht="12.75" customHeight="1">
      <c r="D120" s="70"/>
    </row>
    <row r="121" ht="12.75" customHeight="1">
      <c r="B121" s="41">
        <f>SUM(B111:B120)</f>
        <v>100</v>
      </c>
      <c r="D121" s="41">
        <f>SUM(D111:D120)</f>
        <v>-20500</v>
      </c>
    </row>
    <row r="122" ht="12.75" customHeight="1"/>
    <row r="123" ht="12.75" customHeight="1">
      <c r="A123" s="22" t="s">
        <v>82</v>
      </c>
      <c r="B123" s="54" t="s">
        <v>32</v>
      </c>
      <c r="C123" s="54" t="s">
        <v>33</v>
      </c>
      <c r="D123" s="54" t="s">
        <v>55</v>
      </c>
      <c r="E123" s="54" t="s">
        <v>56</v>
      </c>
    </row>
    <row r="124" ht="12.75" customHeight="1">
      <c r="A124" s="15">
        <v>45418.0</v>
      </c>
      <c r="B124" s="16">
        <v>9.0</v>
      </c>
      <c r="C124" s="16">
        <v>454.65</v>
      </c>
      <c r="D124" s="8">
        <f t="shared" ref="D124:D126" si="13">-B124*C124-1</f>
        <v>-4092.85</v>
      </c>
    </row>
    <row r="125" ht="12.75" customHeight="1">
      <c r="A125" s="15">
        <v>45425.0</v>
      </c>
      <c r="B125" s="16">
        <v>14.0</v>
      </c>
      <c r="C125" s="16">
        <v>468.0</v>
      </c>
      <c r="D125" s="8">
        <f t="shared" si="13"/>
        <v>-6553</v>
      </c>
    </row>
    <row r="126" ht="12.75" customHeight="1">
      <c r="A126" s="15">
        <v>45916.0</v>
      </c>
      <c r="B126" s="16">
        <v>-3.0</v>
      </c>
      <c r="C126" s="16">
        <v>776.0</v>
      </c>
      <c r="D126" s="8">
        <f t="shared" si="13"/>
        <v>2327</v>
      </c>
    </row>
    <row r="127" ht="12.75" customHeight="1">
      <c r="B127" s="41">
        <f>sum(B124:B125)</f>
        <v>23</v>
      </c>
      <c r="D127" s="41">
        <f>sum(D124:D126)</f>
        <v>-8318.85</v>
      </c>
    </row>
    <row r="128" ht="12.75" customHeight="1">
      <c r="E128" s="76"/>
    </row>
    <row r="129" ht="12.75" customHeight="1">
      <c r="E129" s="76"/>
    </row>
    <row r="130" ht="12.75" customHeight="1">
      <c r="A130" s="77" t="s">
        <v>83</v>
      </c>
      <c r="B130" s="77" t="s">
        <v>32</v>
      </c>
      <c r="C130" s="77" t="s">
        <v>33</v>
      </c>
      <c r="D130" s="77" t="s">
        <v>55</v>
      </c>
      <c r="E130" s="78">
        <f>D132*(-1)/D131-1</f>
        <v>0.2133380257</v>
      </c>
    </row>
    <row r="131" ht="12.75" customHeight="1">
      <c r="A131" s="79">
        <v>44431.0</v>
      </c>
      <c r="B131" s="76">
        <v>10.0</v>
      </c>
      <c r="C131" s="76">
        <v>198.905</v>
      </c>
      <c r="D131" s="76">
        <f>B131*C131*-1</f>
        <v>-1989.05</v>
      </c>
      <c r="E131" s="80" t="s">
        <v>84</v>
      </c>
    </row>
    <row r="132" ht="12.75" customHeight="1">
      <c r="A132" s="81">
        <v>44592.0</v>
      </c>
      <c r="B132" s="80">
        <v>-10.0</v>
      </c>
      <c r="C132" s="80">
        <v>241.44</v>
      </c>
      <c r="D132" s="76">
        <f>(B132*C132+1.01)*-1</f>
        <v>2413.39</v>
      </c>
    </row>
    <row r="133" ht="12.75" customHeight="1">
      <c r="A133" s="76"/>
      <c r="B133" s="76"/>
      <c r="C133" s="76"/>
      <c r="D133" s="76">
        <f>SUM(D131:D132)</f>
        <v>424.34</v>
      </c>
    </row>
    <row r="134" ht="12.75" customHeight="1">
      <c r="E134" s="76"/>
      <c r="R134" s="82"/>
      <c r="S134" s="82"/>
      <c r="T134" s="82"/>
      <c r="U134" s="82"/>
      <c r="V134" s="82"/>
      <c r="W134" s="82"/>
      <c r="X134" s="82"/>
      <c r="Y134" s="82"/>
      <c r="Z134" s="82"/>
      <c r="AA134" s="82"/>
      <c r="AB134" s="82"/>
      <c r="AC134" s="82"/>
      <c r="AD134" s="82"/>
      <c r="AE134" s="82"/>
    </row>
    <row r="135" ht="12.75" customHeight="1">
      <c r="E135" s="76"/>
      <c r="F135" s="82"/>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c r="AD135" s="82"/>
      <c r="AE135" s="82"/>
    </row>
    <row r="136" ht="12.75" customHeight="1">
      <c r="A136" s="77" t="s">
        <v>85</v>
      </c>
      <c r="B136" s="77" t="s">
        <v>32</v>
      </c>
      <c r="C136" s="77" t="s">
        <v>33</v>
      </c>
      <c r="D136" s="77" t="s">
        <v>55</v>
      </c>
      <c r="E136" s="76"/>
      <c r="F136" s="82"/>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c r="AD136" s="82"/>
      <c r="AE136" s="82"/>
    </row>
    <row r="137" ht="12.75" customHeight="1">
      <c r="A137" s="79">
        <v>44439.0</v>
      </c>
      <c r="B137" s="76">
        <v>90.0</v>
      </c>
      <c r="C137" s="76">
        <v>40.995</v>
      </c>
      <c r="D137" s="76">
        <f t="shared" ref="D137:D138" si="14">B137*C137*-1</f>
        <v>-3689.55</v>
      </c>
      <c r="E137" s="80" t="s">
        <v>86</v>
      </c>
      <c r="F137" s="82"/>
      <c r="G137" s="82"/>
      <c r="H137" s="82"/>
      <c r="I137" s="82"/>
      <c r="J137" s="82"/>
      <c r="K137" s="82"/>
      <c r="L137" s="82"/>
      <c r="M137" s="82"/>
      <c r="N137" s="82"/>
      <c r="O137" s="82"/>
      <c r="P137" s="82"/>
      <c r="Q137" s="82"/>
      <c r="R137" s="82"/>
      <c r="S137" s="82"/>
      <c r="T137" s="82"/>
      <c r="U137" s="82"/>
      <c r="V137" s="82"/>
      <c r="W137" s="82"/>
      <c r="X137" s="82"/>
      <c r="Y137" s="82"/>
      <c r="Z137" s="82"/>
      <c r="AA137" s="82"/>
      <c r="AB137" s="82"/>
      <c r="AC137" s="82"/>
      <c r="AD137" s="82"/>
      <c r="AE137" s="82"/>
    </row>
    <row r="138" ht="12.75" customHeight="1">
      <c r="A138" s="83">
        <v>44509.0</v>
      </c>
      <c r="B138" s="80">
        <v>10.0</v>
      </c>
      <c r="C138" s="80">
        <v>47.54</v>
      </c>
      <c r="D138" s="76">
        <f t="shared" si="14"/>
        <v>-475.4</v>
      </c>
      <c r="E138" s="80" t="s">
        <v>86</v>
      </c>
      <c r="F138" s="82"/>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2"/>
    </row>
    <row r="139" ht="12.75" customHeight="1">
      <c r="A139" s="76"/>
      <c r="B139" s="76"/>
      <c r="C139" s="76"/>
      <c r="D139" s="80">
        <v>28.98</v>
      </c>
      <c r="E139" s="80" t="s">
        <v>87</v>
      </c>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row>
    <row r="140" ht="12.75" customHeight="1">
      <c r="A140" s="76"/>
      <c r="B140" s="76"/>
      <c r="C140" s="76"/>
      <c r="D140" s="80">
        <v>150.75</v>
      </c>
      <c r="E140" s="84">
        <f>D142/(D137+D138)</f>
        <v>0.05647606814</v>
      </c>
      <c r="F140" s="82"/>
      <c r="G140" s="82"/>
      <c r="H140" s="82"/>
      <c r="I140" s="82"/>
      <c r="J140" s="82"/>
      <c r="K140" s="82"/>
      <c r="L140" s="82"/>
      <c r="M140" s="82"/>
      <c r="N140" s="82"/>
      <c r="O140" s="82"/>
      <c r="P140" s="82"/>
      <c r="Q140" s="82"/>
    </row>
    <row r="141" ht="12.75" customHeight="1">
      <c r="A141" s="76"/>
      <c r="B141" s="76"/>
      <c r="C141" s="76"/>
      <c r="D141" s="80">
        <v>3750.0</v>
      </c>
    </row>
    <row r="142" ht="12.75" customHeight="1">
      <c r="A142" s="76"/>
      <c r="B142" s="76"/>
      <c r="C142" s="76"/>
      <c r="D142" s="76">
        <f>sum(D137:D141)</f>
        <v>-235.22</v>
      </c>
      <c r="E142" s="82"/>
    </row>
    <row r="143" ht="12.75" customHeight="1">
      <c r="E143" s="82"/>
    </row>
    <row r="144" ht="12.75" customHeight="1">
      <c r="A144" s="85" t="s">
        <v>88</v>
      </c>
      <c r="B144" s="82"/>
      <c r="C144" s="82"/>
      <c r="D144" s="82"/>
      <c r="E144" s="82"/>
    </row>
    <row r="145" ht="12.75" customHeight="1">
      <c r="A145" s="86">
        <v>44474.0</v>
      </c>
      <c r="B145" s="87">
        <v>6.0</v>
      </c>
      <c r="C145" s="87">
        <v>470.01</v>
      </c>
      <c r="D145" s="82">
        <f t="shared" ref="D145:D148" si="15">B145*C145*-1</f>
        <v>-2820.06</v>
      </c>
      <c r="E145" s="82"/>
    </row>
    <row r="146" ht="12.75" customHeight="1">
      <c r="A146" s="86">
        <v>44491.0</v>
      </c>
      <c r="B146" s="87">
        <v>4.0</v>
      </c>
      <c r="C146" s="87">
        <v>522.26</v>
      </c>
      <c r="D146" s="82">
        <f t="shared" si="15"/>
        <v>-2089.04</v>
      </c>
      <c r="E146" s="88">
        <f>D148/sum(D145:D147)*(-1)-1</f>
        <v>0.05979404866</v>
      </c>
    </row>
    <row r="147" ht="12.75" customHeight="1">
      <c r="A147" s="86">
        <v>44503.0</v>
      </c>
      <c r="B147" s="87">
        <v>2.0</v>
      </c>
      <c r="C147" s="87">
        <v>538.39</v>
      </c>
      <c r="D147" s="82">
        <f t="shared" si="15"/>
        <v>-1076.78</v>
      </c>
      <c r="E147" s="87" t="s">
        <v>84</v>
      </c>
    </row>
    <row r="148" ht="12.75" customHeight="1">
      <c r="A148" s="89">
        <v>44785.0</v>
      </c>
      <c r="B148" s="87">
        <v>-12.0</v>
      </c>
      <c r="C148" s="87">
        <v>528.65</v>
      </c>
      <c r="D148" s="82">
        <f t="shared" si="15"/>
        <v>6343.8</v>
      </c>
    </row>
    <row r="149" ht="12.75" customHeight="1">
      <c r="A149" s="82"/>
      <c r="B149" s="82"/>
      <c r="C149" s="82"/>
      <c r="D149" s="90">
        <f>SUM(D145:D148)</f>
        <v>357.92</v>
      </c>
    </row>
    <row r="150" ht="12.75" customHeight="1"/>
    <row r="151" ht="12.75" customHeight="1"/>
    <row r="152" ht="12.75" customHeight="1">
      <c r="A152" s="91" t="s">
        <v>89</v>
      </c>
      <c r="B152" s="77" t="s">
        <v>32</v>
      </c>
      <c r="C152" s="77" t="s">
        <v>33</v>
      </c>
      <c r="D152" s="77" t="s">
        <v>55</v>
      </c>
    </row>
    <row r="153" ht="12.75" customHeight="1">
      <c r="A153" s="81">
        <v>44459.0</v>
      </c>
      <c r="B153" s="80">
        <v>20.0</v>
      </c>
      <c r="C153" s="80">
        <v>141.705</v>
      </c>
      <c r="D153" s="76">
        <f t="shared" ref="D153:D154" si="16">B153*C153</f>
        <v>2834.1</v>
      </c>
      <c r="E153" s="80" t="s">
        <v>90</v>
      </c>
    </row>
    <row r="154" ht="12.75" customHeight="1">
      <c r="A154" s="81">
        <v>44802.0</v>
      </c>
      <c r="B154" s="80">
        <v>-20.0</v>
      </c>
      <c r="C154" s="80">
        <v>121.47</v>
      </c>
      <c r="D154" s="76">
        <f t="shared" si="16"/>
        <v>-2429.4</v>
      </c>
    </row>
    <row r="155" ht="12.75" customHeight="1">
      <c r="D155" s="76">
        <f>SUM(D153:D154)</f>
        <v>404.7</v>
      </c>
      <c r="E155" s="82"/>
    </row>
    <row r="156" ht="12.75" customHeight="1">
      <c r="E156" s="82"/>
    </row>
    <row r="157" ht="12.75" customHeight="1">
      <c r="A157" s="90" t="s">
        <v>64</v>
      </c>
      <c r="B157" s="90" t="s">
        <v>32</v>
      </c>
      <c r="C157" s="90" t="s">
        <v>33</v>
      </c>
      <c r="D157" s="90" t="s">
        <v>55</v>
      </c>
      <c r="E157" s="82"/>
    </row>
    <row r="158" ht="12.75" customHeight="1">
      <c r="A158" s="92">
        <v>44258.0</v>
      </c>
      <c r="B158" s="82">
        <v>300.0</v>
      </c>
      <c r="C158" s="93">
        <v>16.215</v>
      </c>
      <c r="D158" s="82">
        <f t="shared" ref="D158:D162" si="17">B158*C158*-1</f>
        <v>-4864.5</v>
      </c>
      <c r="E158" s="82"/>
    </row>
    <row r="159" ht="12.75" customHeight="1">
      <c r="A159" s="92">
        <v>44292.0</v>
      </c>
      <c r="B159" s="82">
        <v>300.0</v>
      </c>
      <c r="C159" s="93">
        <f>(10*200+100*9.965)/300</f>
        <v>9.988333333</v>
      </c>
      <c r="D159" s="82">
        <f t="shared" si="17"/>
        <v>-2996.5</v>
      </c>
      <c r="E159" s="82"/>
    </row>
    <row r="160" ht="12.75" customHeight="1">
      <c r="A160" s="92">
        <v>44319.0</v>
      </c>
      <c r="B160" s="82">
        <v>100.0</v>
      </c>
      <c r="C160" s="93">
        <v>6.055</v>
      </c>
      <c r="D160" s="82">
        <f t="shared" si="17"/>
        <v>-605.5</v>
      </c>
      <c r="E160" s="87" t="s">
        <v>68</v>
      </c>
    </row>
    <row r="161" ht="12.75" customHeight="1">
      <c r="A161" s="89">
        <v>44461.0</v>
      </c>
      <c r="B161" s="87">
        <v>100.0</v>
      </c>
      <c r="C161" s="94">
        <v>7.5</v>
      </c>
      <c r="D161" s="82">
        <f t="shared" si="17"/>
        <v>-750</v>
      </c>
      <c r="E161" s="87" t="s">
        <v>91</v>
      </c>
    </row>
    <row r="162" ht="12.75" customHeight="1">
      <c r="A162" s="86">
        <v>44544.0</v>
      </c>
      <c r="B162" s="87">
        <v>100.0</v>
      </c>
      <c r="C162" s="87">
        <v>7.5</v>
      </c>
      <c r="D162" s="82">
        <f t="shared" si="17"/>
        <v>-750</v>
      </c>
      <c r="E162" s="87" t="s">
        <v>68</v>
      </c>
    </row>
    <row r="163" ht="12.75" customHeight="1">
      <c r="A163" s="86">
        <v>44553.0</v>
      </c>
      <c r="B163" s="87">
        <v>-100.0</v>
      </c>
      <c r="C163" s="87">
        <v>8.02</v>
      </c>
      <c r="D163" s="82">
        <f>(B163*C163+1.02)*-1</f>
        <v>800.98</v>
      </c>
      <c r="E163" s="87" t="s">
        <v>92</v>
      </c>
    </row>
    <row r="164" ht="12.75" customHeight="1">
      <c r="A164" s="89">
        <v>44582.0</v>
      </c>
      <c r="B164" s="87">
        <v>200.0</v>
      </c>
      <c r="C164" s="87">
        <v>5.0</v>
      </c>
      <c r="D164" s="82">
        <f t="shared" ref="D164:D165" si="18">C164*B164*-1</f>
        <v>-1000</v>
      </c>
      <c r="E164" s="87"/>
    </row>
    <row r="165" ht="12.75" customHeight="1">
      <c r="A165" s="86">
        <v>44621.0</v>
      </c>
      <c r="B165" s="87">
        <v>-200.0</v>
      </c>
      <c r="C165" s="87">
        <v>5.215</v>
      </c>
      <c r="D165" s="82">
        <f t="shared" si="18"/>
        <v>1043</v>
      </c>
      <c r="E165" s="87"/>
    </row>
    <row r="166" ht="12.75" customHeight="1">
      <c r="A166" s="89">
        <v>44790.0</v>
      </c>
      <c r="B166" s="87">
        <v>200.0</v>
      </c>
      <c r="C166" s="87">
        <v>2.5</v>
      </c>
      <c r="D166" s="82">
        <f t="shared" ref="D166:D168" si="19">B166*C166*-1</f>
        <v>-500</v>
      </c>
      <c r="E166" s="87"/>
    </row>
    <row r="167" ht="12.75" customHeight="1">
      <c r="A167" s="89">
        <v>44795.0</v>
      </c>
      <c r="B167" s="87">
        <v>200.0</v>
      </c>
      <c r="C167" s="87">
        <v>1.95</v>
      </c>
      <c r="D167" s="82">
        <f t="shared" si="19"/>
        <v>-390</v>
      </c>
      <c r="E167" s="87" t="s">
        <v>86</v>
      </c>
    </row>
    <row r="168" ht="12.75" customHeight="1">
      <c r="A168" s="86">
        <v>44886.0</v>
      </c>
      <c r="B168" s="87">
        <v>250.0</v>
      </c>
      <c r="C168" s="87">
        <v>0.4</v>
      </c>
      <c r="D168" s="82">
        <f t="shared" si="19"/>
        <v>-100</v>
      </c>
    </row>
    <row r="169" ht="12.75" customHeight="1">
      <c r="A169" s="87"/>
      <c r="B169" s="90">
        <f>SUM(B158:B168)</f>
        <v>1450</v>
      </c>
      <c r="C169" s="82"/>
      <c r="D169" s="85">
        <f>SUM(D158:D168)</f>
        <v>-10112.52</v>
      </c>
    </row>
    <row r="170" ht="12.75" customHeight="1">
      <c r="D170" s="13"/>
    </row>
    <row r="171" ht="12.75" customHeight="1">
      <c r="D171" s="13"/>
    </row>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sheetData>
  <printOptions/>
  <pageMargins bottom="0.7875" footer="0.0" header="0.0" left="0.7875" right="0.7875" top="0.7875"/>
  <pageSetup paperSize="9"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0"/>
    <col customWidth="1" min="2" max="2" width="7.13"/>
    <col customWidth="1" min="3" max="3" width="10.25"/>
    <col customWidth="1" min="4" max="4" width="6.13"/>
    <col customWidth="1" min="5" max="5" width="11.75"/>
    <col customWidth="1" min="6" max="6" width="13.5"/>
    <col customWidth="1" min="7" max="7" width="5.63"/>
    <col customWidth="1" min="8" max="8" width="7.25"/>
    <col customWidth="1" min="9" max="9" width="9.5"/>
    <col customWidth="1" min="10" max="10" width="9.63"/>
    <col customWidth="1" min="11" max="11" width="7.75"/>
    <col customWidth="1" min="12" max="12" width="8.63"/>
    <col customWidth="1" min="13" max="13" width="40.5"/>
    <col customWidth="1" min="14" max="14" width="7.63"/>
    <col customWidth="1" min="15" max="15" width="7.75"/>
    <col customWidth="1" min="16" max="16" width="6.63"/>
    <col customWidth="1" min="17" max="17" width="7.75"/>
    <col customWidth="1" hidden="1" min="18" max="18" width="8.75"/>
    <col customWidth="1" min="19" max="19" width="9.5"/>
    <col customWidth="1" min="20" max="20" width="8.63"/>
    <col customWidth="1" min="21" max="21" width="11.25"/>
    <col customWidth="1" min="22" max="22" width="8.0"/>
  </cols>
  <sheetData>
    <row r="1" ht="30.0" customHeight="1">
      <c r="A1" s="95" t="s">
        <v>93</v>
      </c>
      <c r="B1" s="95" t="s">
        <v>94</v>
      </c>
      <c r="C1" s="95" t="s">
        <v>95</v>
      </c>
      <c r="D1" s="95" t="s">
        <v>96</v>
      </c>
      <c r="E1" s="95" t="s">
        <v>97</v>
      </c>
      <c r="F1" s="95" t="s">
        <v>98</v>
      </c>
      <c r="G1" s="95" t="s">
        <v>32</v>
      </c>
      <c r="H1" s="95" t="s">
        <v>55</v>
      </c>
      <c r="I1" s="95" t="s">
        <v>99</v>
      </c>
      <c r="J1" s="95" t="s">
        <v>100</v>
      </c>
      <c r="K1" s="95" t="s">
        <v>101</v>
      </c>
      <c r="L1" s="95" t="s">
        <v>102</v>
      </c>
      <c r="M1" s="95" t="s">
        <v>56</v>
      </c>
      <c r="N1" s="95" t="s">
        <v>103</v>
      </c>
      <c r="O1" s="96" t="s">
        <v>104</v>
      </c>
      <c r="P1" s="95" t="s">
        <v>105</v>
      </c>
      <c r="Q1" s="96" t="s">
        <v>106</v>
      </c>
      <c r="R1" s="96" t="s">
        <v>107</v>
      </c>
      <c r="S1" s="96" t="s">
        <v>108</v>
      </c>
      <c r="T1" s="96" t="s">
        <v>109</v>
      </c>
      <c r="U1" s="96" t="s">
        <v>110</v>
      </c>
      <c r="V1" s="96" t="s">
        <v>111</v>
      </c>
    </row>
    <row r="2">
      <c r="A2" s="20">
        <v>44508.0</v>
      </c>
      <c r="B2" s="97" t="s">
        <v>64</v>
      </c>
      <c r="C2" s="97" t="s">
        <v>112</v>
      </c>
      <c r="D2" s="97" t="s">
        <v>113</v>
      </c>
      <c r="E2" s="97" t="s">
        <v>114</v>
      </c>
      <c r="F2" s="98">
        <v>7.5</v>
      </c>
      <c r="G2" s="99"/>
      <c r="H2" s="99">
        <v>23.0</v>
      </c>
      <c r="I2" s="16">
        <v>0.17</v>
      </c>
      <c r="J2" s="8">
        <f t="shared" ref="J2:J3" si="1">H2-I2</f>
        <v>22.83</v>
      </c>
      <c r="K2" s="16">
        <v>0.0</v>
      </c>
      <c r="L2" s="100">
        <f t="shared" ref="L2:L3" si="2">sum(J2:K2)</f>
        <v>22.83</v>
      </c>
      <c r="M2" s="16" t="s">
        <v>115</v>
      </c>
      <c r="P2" s="61"/>
    </row>
    <row r="3">
      <c r="A3" s="20">
        <v>44511.0</v>
      </c>
      <c r="B3" s="97" t="s">
        <v>64</v>
      </c>
      <c r="C3" s="97" t="s">
        <v>112</v>
      </c>
      <c r="D3" s="97" t="s">
        <v>113</v>
      </c>
      <c r="E3" s="97" t="s">
        <v>114</v>
      </c>
      <c r="F3" s="98">
        <v>7.5</v>
      </c>
      <c r="G3" s="99"/>
      <c r="H3" s="99">
        <v>70.0</v>
      </c>
      <c r="I3" s="16">
        <v>1.02</v>
      </c>
      <c r="J3" s="8">
        <f t="shared" si="1"/>
        <v>68.98</v>
      </c>
      <c r="K3" s="16">
        <v>0.0</v>
      </c>
      <c r="L3" s="100">
        <f t="shared" si="2"/>
        <v>68.98</v>
      </c>
      <c r="M3" s="16" t="s">
        <v>115</v>
      </c>
      <c r="P3" s="61"/>
    </row>
    <row r="4">
      <c r="A4" s="20"/>
      <c r="B4" s="97"/>
      <c r="C4" s="97"/>
      <c r="D4" s="97"/>
      <c r="E4" s="97"/>
      <c r="F4" s="98"/>
      <c r="G4" s="99"/>
      <c r="H4" s="99"/>
      <c r="I4" s="16"/>
      <c r="J4" s="8"/>
      <c r="K4" s="16"/>
      <c r="L4" s="100"/>
      <c r="M4" s="67"/>
      <c r="P4" s="61"/>
    </row>
    <row r="5">
      <c r="A5" s="20">
        <v>44529.0</v>
      </c>
      <c r="B5" s="97" t="s">
        <v>0</v>
      </c>
      <c r="C5" s="97" t="s">
        <v>116</v>
      </c>
      <c r="D5" s="97" t="s">
        <v>113</v>
      </c>
      <c r="E5" s="97" t="s">
        <v>117</v>
      </c>
      <c r="F5" s="98">
        <v>21.0</v>
      </c>
      <c r="G5" s="99"/>
      <c r="H5" s="99">
        <v>105.0</v>
      </c>
      <c r="I5" s="16">
        <v>0.27</v>
      </c>
      <c r="J5" s="8">
        <f t="shared" ref="J5:J8" si="3">H5-I5</f>
        <v>104.73</v>
      </c>
      <c r="K5" s="16">
        <v>0.0</v>
      </c>
      <c r="L5" s="100">
        <f>sum(J5:K5)</f>
        <v>104.73</v>
      </c>
      <c r="M5" s="67" t="s">
        <v>118</v>
      </c>
      <c r="P5" s="61"/>
    </row>
    <row r="6">
      <c r="A6" s="20">
        <v>44517.0</v>
      </c>
      <c r="B6" s="97" t="s">
        <v>64</v>
      </c>
      <c r="C6" s="97" t="s">
        <v>112</v>
      </c>
      <c r="D6" s="97" t="s">
        <v>113</v>
      </c>
      <c r="E6" s="97" t="s">
        <v>117</v>
      </c>
      <c r="F6" s="98">
        <v>10.0</v>
      </c>
      <c r="G6" s="99"/>
      <c r="H6" s="99">
        <v>30.0</v>
      </c>
      <c r="I6" s="16">
        <v>1.02</v>
      </c>
      <c r="J6" s="8">
        <f t="shared" si="3"/>
        <v>28.98</v>
      </c>
      <c r="K6" s="8">
        <f>-(J6-L6)</f>
        <v>-13.62</v>
      </c>
      <c r="L6" s="101">
        <v>15.36</v>
      </c>
      <c r="M6" s="16" t="s">
        <v>119</v>
      </c>
      <c r="P6" s="61"/>
    </row>
    <row r="7">
      <c r="A7" s="20">
        <v>44524.0</v>
      </c>
      <c r="B7" s="97" t="s">
        <v>64</v>
      </c>
      <c r="C7" s="97" t="s">
        <v>112</v>
      </c>
      <c r="D7" s="97" t="s">
        <v>113</v>
      </c>
      <c r="E7" s="97" t="s">
        <v>117</v>
      </c>
      <c r="F7" s="98">
        <v>7.5</v>
      </c>
      <c r="G7" s="99"/>
      <c r="H7" s="99">
        <v>30.0</v>
      </c>
      <c r="I7" s="16">
        <v>1.02</v>
      </c>
      <c r="J7" s="8">
        <f t="shared" si="3"/>
        <v>28.98</v>
      </c>
      <c r="K7" s="16">
        <v>0.0</v>
      </c>
      <c r="L7" s="100">
        <f t="shared" ref="L7:L8" si="4">sum(J7:K7)</f>
        <v>28.98</v>
      </c>
      <c r="M7" s="16" t="s">
        <v>120</v>
      </c>
      <c r="P7" s="61"/>
    </row>
    <row r="8">
      <c r="A8" s="20">
        <v>44531.0</v>
      </c>
      <c r="B8" s="97" t="s">
        <v>64</v>
      </c>
      <c r="C8" s="97" t="s">
        <v>121</v>
      </c>
      <c r="D8" s="97" t="s">
        <v>113</v>
      </c>
      <c r="E8" s="97" t="s">
        <v>117</v>
      </c>
      <c r="F8" s="98" t="s">
        <v>122</v>
      </c>
      <c r="G8" s="99"/>
      <c r="H8" s="99">
        <v>120.0</v>
      </c>
      <c r="I8" s="16">
        <v>2.49</v>
      </c>
      <c r="J8" s="8">
        <f t="shared" si="3"/>
        <v>117.51</v>
      </c>
      <c r="K8" s="8">
        <f>(8.02-7.5)*100</f>
        <v>52</v>
      </c>
      <c r="L8" s="100">
        <f t="shared" si="4"/>
        <v>169.51</v>
      </c>
      <c r="M8" s="67" t="s">
        <v>123</v>
      </c>
      <c r="P8" s="61"/>
    </row>
    <row r="9">
      <c r="A9" s="20"/>
      <c r="B9" s="97"/>
      <c r="C9" s="97"/>
      <c r="D9" s="97"/>
      <c r="E9" s="97"/>
      <c r="F9" s="98"/>
      <c r="G9" s="99"/>
      <c r="H9" s="99"/>
      <c r="I9" s="16"/>
      <c r="K9" s="16"/>
      <c r="L9" s="100"/>
      <c r="M9" s="16"/>
      <c r="N9" s="102"/>
      <c r="P9" s="102"/>
      <c r="Q9" s="102"/>
      <c r="R9" s="98"/>
    </row>
    <row r="10">
      <c r="A10" s="20">
        <v>44553.0</v>
      </c>
      <c r="B10" s="97" t="s">
        <v>64</v>
      </c>
      <c r="C10" s="97" t="s">
        <v>112</v>
      </c>
      <c r="D10" s="97" t="s">
        <v>113</v>
      </c>
      <c r="E10" s="97" t="s">
        <v>124</v>
      </c>
      <c r="F10" s="98">
        <v>10.0</v>
      </c>
      <c r="G10" s="99"/>
      <c r="H10" s="99">
        <v>50.0</v>
      </c>
      <c r="I10" s="16">
        <v>0.16</v>
      </c>
      <c r="J10" s="8">
        <f t="shared" ref="J10:J11" si="5">H10-I10</f>
        <v>49.84</v>
      </c>
      <c r="K10" s="16">
        <v>0.0</v>
      </c>
      <c r="L10" s="100">
        <f t="shared" ref="L10:L14" si="6">sum(J10:K10)</f>
        <v>49.84</v>
      </c>
      <c r="M10" s="16" t="s">
        <v>115</v>
      </c>
      <c r="N10" s="102">
        <v>1.14</v>
      </c>
      <c r="P10" s="102">
        <v>0.214</v>
      </c>
      <c r="Q10" s="102">
        <v>0.76</v>
      </c>
      <c r="R10" s="98" t="s">
        <v>125</v>
      </c>
    </row>
    <row r="11">
      <c r="A11" s="16" t="s">
        <v>126</v>
      </c>
      <c r="B11" s="97" t="s">
        <v>64</v>
      </c>
      <c r="C11" s="97" t="s">
        <v>112</v>
      </c>
      <c r="D11" s="97" t="s">
        <v>113</v>
      </c>
      <c r="E11" s="97" t="s">
        <v>124</v>
      </c>
      <c r="F11" s="98">
        <v>7.5</v>
      </c>
      <c r="G11" s="99"/>
      <c r="H11" s="99">
        <v>74.0</v>
      </c>
      <c r="I11" s="16">
        <v>0.17</v>
      </c>
      <c r="J11" s="8">
        <f t="shared" si="5"/>
        <v>73.83</v>
      </c>
      <c r="K11" s="16">
        <v>0.0</v>
      </c>
      <c r="L11" s="100">
        <f t="shared" si="6"/>
        <v>73.83</v>
      </c>
      <c r="M11" s="16" t="s">
        <v>115</v>
      </c>
      <c r="N11" s="102">
        <v>1.23</v>
      </c>
      <c r="P11" s="102">
        <v>0.216</v>
      </c>
      <c r="Q11" s="102">
        <v>0.59</v>
      </c>
      <c r="R11" s="98" t="s">
        <v>125</v>
      </c>
    </row>
    <row r="12">
      <c r="A12" s="20">
        <v>44543.0</v>
      </c>
      <c r="B12" s="97" t="s">
        <v>64</v>
      </c>
      <c r="C12" s="97" t="s">
        <v>127</v>
      </c>
      <c r="D12" s="103"/>
      <c r="E12" s="97" t="s">
        <v>124</v>
      </c>
      <c r="F12" s="98" t="s">
        <v>128</v>
      </c>
      <c r="G12" s="104"/>
      <c r="H12" s="104">
        <f>(0.654-0.111)*2*100</f>
        <v>108.6</v>
      </c>
      <c r="I12" s="16">
        <f>2.1+1.03</f>
        <v>3.13</v>
      </c>
      <c r="J12" s="8">
        <f>H12-I12+(5.215-5)*200</f>
        <v>148.47</v>
      </c>
      <c r="K12" s="16">
        <v>0.0</v>
      </c>
      <c r="L12" s="100">
        <f t="shared" si="6"/>
        <v>148.47</v>
      </c>
      <c r="M12" s="67" t="s">
        <v>129</v>
      </c>
      <c r="N12" s="105">
        <v>1.073</v>
      </c>
      <c r="P12" s="106">
        <v>0.215</v>
      </c>
      <c r="Q12" s="106">
        <v>0.53</v>
      </c>
      <c r="R12" s="105">
        <v>0.023</v>
      </c>
    </row>
    <row r="13">
      <c r="A13" s="16" t="s">
        <v>126</v>
      </c>
      <c r="B13" s="97" t="s">
        <v>0</v>
      </c>
      <c r="C13" s="97" t="s">
        <v>112</v>
      </c>
      <c r="D13" s="97" t="s">
        <v>113</v>
      </c>
      <c r="E13" s="97" t="s">
        <v>124</v>
      </c>
      <c r="F13" s="98">
        <v>21.0</v>
      </c>
      <c r="G13" s="99"/>
      <c r="H13" s="99">
        <v>20.0</v>
      </c>
      <c r="I13" s="16">
        <v>0.27</v>
      </c>
      <c r="J13" s="8">
        <f t="shared" ref="J13:J14" si="7">H13-I13</f>
        <v>19.73</v>
      </c>
      <c r="K13" s="16">
        <v>0.0</v>
      </c>
      <c r="L13" s="100">
        <f t="shared" si="6"/>
        <v>19.73</v>
      </c>
      <c r="M13" s="67" t="s">
        <v>130</v>
      </c>
      <c r="N13" s="107">
        <v>0.208</v>
      </c>
      <c r="P13" s="102">
        <v>0.216</v>
      </c>
      <c r="Q13" s="102">
        <v>0.77</v>
      </c>
      <c r="R13" s="98" t="s">
        <v>125</v>
      </c>
    </row>
    <row r="14">
      <c r="A14" s="20">
        <v>44553.0</v>
      </c>
      <c r="B14" s="97" t="s">
        <v>85</v>
      </c>
      <c r="C14" s="97" t="s">
        <v>112</v>
      </c>
      <c r="D14" s="97" t="s">
        <v>113</v>
      </c>
      <c r="E14" s="97" t="s">
        <v>124</v>
      </c>
      <c r="F14" s="98">
        <v>42.5</v>
      </c>
      <c r="G14" s="99"/>
      <c r="H14" s="99">
        <v>30.0</v>
      </c>
      <c r="I14" s="16">
        <v>1.02</v>
      </c>
      <c r="J14" s="8">
        <f t="shared" si="7"/>
        <v>28.98</v>
      </c>
      <c r="K14" s="16">
        <v>0.0</v>
      </c>
      <c r="L14" s="100">
        <f t="shared" si="6"/>
        <v>28.98</v>
      </c>
      <c r="M14" s="16" t="s">
        <v>115</v>
      </c>
      <c r="P14" s="61"/>
    </row>
    <row r="15">
      <c r="E15" s="103"/>
      <c r="F15" s="108"/>
      <c r="G15" s="104"/>
      <c r="H15" s="104"/>
      <c r="L15" s="100"/>
      <c r="P15" s="61"/>
    </row>
    <row r="16">
      <c r="A16" s="20">
        <v>44594.0</v>
      </c>
      <c r="B16" s="97" t="s">
        <v>5</v>
      </c>
      <c r="C16" s="97" t="s">
        <v>112</v>
      </c>
      <c r="D16" s="97" t="s">
        <v>113</v>
      </c>
      <c r="E16" s="97" t="s">
        <v>131</v>
      </c>
      <c r="F16" s="98">
        <v>235.0</v>
      </c>
      <c r="G16" s="99"/>
      <c r="H16" s="99">
        <v>110.0</v>
      </c>
      <c r="I16" s="16">
        <v>1.89</v>
      </c>
      <c r="J16" s="8">
        <f t="shared" ref="J16:J17" si="8">H16-I16</f>
        <v>108.11</v>
      </c>
      <c r="K16" s="98">
        <v>0.0</v>
      </c>
      <c r="L16" s="100">
        <f t="shared" ref="L16:L17" si="9">sum(J16:K16)</f>
        <v>108.11</v>
      </c>
      <c r="M16" s="16" t="s">
        <v>115</v>
      </c>
      <c r="N16" s="107">
        <v>0.185</v>
      </c>
      <c r="P16" s="102">
        <v>0.2265</v>
      </c>
      <c r="Q16" s="102">
        <v>0.73</v>
      </c>
      <c r="R16" s="98" t="s">
        <v>125</v>
      </c>
    </row>
    <row r="17">
      <c r="A17" s="20">
        <v>44595.0</v>
      </c>
      <c r="B17" s="97" t="s">
        <v>58</v>
      </c>
      <c r="C17" s="97" t="s">
        <v>116</v>
      </c>
      <c r="D17" s="97" t="s">
        <v>113</v>
      </c>
      <c r="E17" s="97" t="s">
        <v>131</v>
      </c>
      <c r="F17" s="98">
        <v>40.0</v>
      </c>
      <c r="G17" s="99"/>
      <c r="H17" s="99">
        <v>135.0</v>
      </c>
      <c r="I17" s="16">
        <v>0.3</v>
      </c>
      <c r="J17" s="8">
        <f t="shared" si="8"/>
        <v>134.7</v>
      </c>
      <c r="K17" s="98">
        <v>0.0</v>
      </c>
      <c r="L17" s="100">
        <f t="shared" si="9"/>
        <v>134.7</v>
      </c>
      <c r="M17" s="16" t="s">
        <v>115</v>
      </c>
      <c r="N17" s="102">
        <v>0.99</v>
      </c>
      <c r="P17" s="102">
        <v>0.244</v>
      </c>
      <c r="Q17" s="102">
        <v>0.75</v>
      </c>
      <c r="R17" s="98" t="s">
        <v>125</v>
      </c>
      <c r="S17" s="102">
        <v>0.8</v>
      </c>
    </row>
    <row r="18">
      <c r="A18" s="15"/>
      <c r="B18" s="97"/>
      <c r="C18" s="97"/>
      <c r="D18" s="97"/>
      <c r="E18" s="97"/>
      <c r="F18" s="98"/>
      <c r="G18" s="99"/>
      <c r="H18" s="99"/>
      <c r="I18" s="16"/>
      <c r="K18" s="108"/>
      <c r="L18" s="100"/>
      <c r="M18" s="44"/>
      <c r="N18" s="105"/>
      <c r="P18" s="106"/>
      <c r="Q18" s="106"/>
      <c r="R18" s="109"/>
      <c r="S18" s="106"/>
    </row>
    <row r="19">
      <c r="A19" s="15">
        <v>44603.0</v>
      </c>
      <c r="B19" s="97" t="s">
        <v>58</v>
      </c>
      <c r="C19" s="97" t="s">
        <v>116</v>
      </c>
      <c r="D19" s="97" t="s">
        <v>113</v>
      </c>
      <c r="E19" s="97" t="s">
        <v>132</v>
      </c>
      <c r="F19" s="98">
        <v>50.0</v>
      </c>
      <c r="G19" s="99"/>
      <c r="H19" s="99">
        <v>321.0</v>
      </c>
      <c r="I19" s="16">
        <v>0.2</v>
      </c>
      <c r="J19" s="8">
        <f t="shared" ref="J19:J25" si="10">H19-I19</f>
        <v>320.8</v>
      </c>
      <c r="K19" s="108"/>
      <c r="L19" s="100"/>
      <c r="M19" s="44" t="s">
        <v>133</v>
      </c>
      <c r="N19" s="105">
        <v>1.068</v>
      </c>
      <c r="P19" s="106">
        <v>0.2855</v>
      </c>
      <c r="Q19" s="106">
        <v>0.75</v>
      </c>
      <c r="R19" s="109" t="s">
        <v>125</v>
      </c>
      <c r="S19" s="106">
        <v>0.81</v>
      </c>
    </row>
    <row r="20">
      <c r="A20" s="15">
        <v>44614.0</v>
      </c>
      <c r="B20" s="97" t="s">
        <v>58</v>
      </c>
      <c r="C20" s="97" t="s">
        <v>116</v>
      </c>
      <c r="D20" s="97" t="s">
        <v>113</v>
      </c>
      <c r="E20" s="97" t="s">
        <v>132</v>
      </c>
      <c r="F20" s="98">
        <v>40.0</v>
      </c>
      <c r="G20" s="110"/>
      <c r="H20" s="110">
        <v>104.0</v>
      </c>
      <c r="I20" s="98">
        <v>0.2</v>
      </c>
      <c r="J20" s="8">
        <f t="shared" si="10"/>
        <v>103.8</v>
      </c>
      <c r="K20" s="98">
        <v>0.0</v>
      </c>
      <c r="L20" s="100">
        <f t="shared" ref="L20:L25" si="11">sum(J20:K20)</f>
        <v>103.8</v>
      </c>
      <c r="M20" s="16" t="s">
        <v>115</v>
      </c>
      <c r="N20" s="102">
        <v>1.11</v>
      </c>
      <c r="P20" s="102">
        <v>0.2905</v>
      </c>
      <c r="Q20" s="102">
        <v>0.9</v>
      </c>
      <c r="R20" s="98" t="s">
        <v>125</v>
      </c>
      <c r="S20" s="102">
        <v>0.91</v>
      </c>
    </row>
    <row r="21">
      <c r="A21" s="15">
        <v>44614.0</v>
      </c>
      <c r="B21" s="97" t="s">
        <v>5</v>
      </c>
      <c r="C21" s="97" t="s">
        <v>112</v>
      </c>
      <c r="D21" s="97" t="s">
        <v>113</v>
      </c>
      <c r="E21" s="97" t="s">
        <v>132</v>
      </c>
      <c r="F21" s="98">
        <v>230.0</v>
      </c>
      <c r="G21" s="99"/>
      <c r="H21" s="99">
        <v>86.0</v>
      </c>
      <c r="I21" s="16">
        <v>0.2</v>
      </c>
      <c r="J21" s="8">
        <f t="shared" si="10"/>
        <v>85.8</v>
      </c>
      <c r="K21" s="108"/>
      <c r="L21" s="100">
        <f t="shared" si="11"/>
        <v>85.8</v>
      </c>
      <c r="M21" s="16" t="s">
        <v>115</v>
      </c>
      <c r="N21" s="102">
        <v>0.27</v>
      </c>
      <c r="P21" s="102">
        <v>0.2905</v>
      </c>
      <c r="Q21" s="102">
        <v>0.82</v>
      </c>
      <c r="R21" s="98" t="s">
        <v>125</v>
      </c>
      <c r="S21" s="102">
        <v>0.83</v>
      </c>
    </row>
    <row r="22">
      <c r="A22" s="15">
        <v>44615.0</v>
      </c>
      <c r="B22" s="97" t="s">
        <v>59</v>
      </c>
      <c r="C22" s="97" t="s">
        <v>112</v>
      </c>
      <c r="D22" s="97" t="s">
        <v>113</v>
      </c>
      <c r="E22" s="97" t="s">
        <v>132</v>
      </c>
      <c r="F22" s="98">
        <v>90.0</v>
      </c>
      <c r="G22" s="99"/>
      <c r="H22" s="99">
        <v>240.0</v>
      </c>
      <c r="I22" s="16">
        <v>0.3</v>
      </c>
      <c r="J22" s="8">
        <f t="shared" si="10"/>
        <v>239.7</v>
      </c>
      <c r="K22" s="108"/>
      <c r="L22" s="100">
        <f t="shared" si="11"/>
        <v>239.7</v>
      </c>
      <c r="M22" s="16" t="s">
        <v>115</v>
      </c>
      <c r="N22" s="102">
        <v>0.67</v>
      </c>
      <c r="P22" s="102">
        <v>0.29</v>
      </c>
      <c r="Q22" s="102">
        <v>0.73</v>
      </c>
      <c r="R22" s="98" t="s">
        <v>125</v>
      </c>
      <c r="S22" s="102">
        <v>0.77</v>
      </c>
    </row>
    <row r="23">
      <c r="A23" s="15">
        <v>44616.0</v>
      </c>
      <c r="B23" s="97" t="s">
        <v>58</v>
      </c>
      <c r="C23" s="97" t="s">
        <v>112</v>
      </c>
      <c r="D23" s="97" t="s">
        <v>113</v>
      </c>
      <c r="E23" s="97" t="s">
        <v>132</v>
      </c>
      <c r="F23" s="98">
        <v>60.0</v>
      </c>
      <c r="G23" s="99"/>
      <c r="H23" s="99">
        <v>336.0</v>
      </c>
      <c r="I23" s="16">
        <v>0.2</v>
      </c>
      <c r="J23" s="8">
        <f t="shared" si="10"/>
        <v>335.8</v>
      </c>
      <c r="K23" s="108"/>
      <c r="L23" s="100">
        <f t="shared" si="11"/>
        <v>335.8</v>
      </c>
      <c r="M23" s="16" t="s">
        <v>115</v>
      </c>
      <c r="N23" s="16">
        <v>133.2</v>
      </c>
      <c r="P23" s="102">
        <v>0.31</v>
      </c>
      <c r="Q23" s="102">
        <v>0.69</v>
      </c>
      <c r="R23" s="98" t="s">
        <v>125</v>
      </c>
      <c r="S23" s="102">
        <v>0.74</v>
      </c>
    </row>
    <row r="24" ht="41.25" customHeight="1">
      <c r="A24" s="15">
        <v>44620.0</v>
      </c>
      <c r="B24" s="97" t="s">
        <v>64</v>
      </c>
      <c r="C24" s="97" t="s">
        <v>112</v>
      </c>
      <c r="D24" s="97" t="s">
        <v>113</v>
      </c>
      <c r="E24" s="97" t="s">
        <v>132</v>
      </c>
      <c r="F24" s="98">
        <v>5.0</v>
      </c>
      <c r="G24" s="99"/>
      <c r="H24" s="99">
        <v>90.0</v>
      </c>
      <c r="I24" s="16">
        <v>0.1</v>
      </c>
      <c r="J24" s="8">
        <f t="shared" si="10"/>
        <v>89.9</v>
      </c>
      <c r="K24" s="108"/>
      <c r="L24" s="100">
        <f t="shared" si="11"/>
        <v>89.9</v>
      </c>
      <c r="M24" s="16" t="s">
        <v>115</v>
      </c>
      <c r="N24" s="102">
        <v>1.29</v>
      </c>
      <c r="P24" s="102">
        <v>0.2945</v>
      </c>
      <c r="Q24" s="102">
        <v>0.54</v>
      </c>
      <c r="R24" s="98" t="s">
        <v>125</v>
      </c>
      <c r="S24" s="102">
        <v>0.63</v>
      </c>
    </row>
    <row r="25">
      <c r="A25" s="15">
        <v>44629.0</v>
      </c>
      <c r="B25" s="97" t="s">
        <v>0</v>
      </c>
      <c r="C25" s="97" t="s">
        <v>112</v>
      </c>
      <c r="D25" s="97" t="s">
        <v>113</v>
      </c>
      <c r="E25" s="97" t="s">
        <v>132</v>
      </c>
      <c r="F25" s="98">
        <v>26.0</v>
      </c>
      <c r="G25" s="99"/>
      <c r="H25" s="99">
        <v>74.0</v>
      </c>
      <c r="I25" s="16">
        <v>0.2</v>
      </c>
      <c r="J25" s="8">
        <f t="shared" si="10"/>
        <v>73.8</v>
      </c>
      <c r="K25" s="108"/>
      <c r="L25" s="100">
        <f t="shared" si="11"/>
        <v>73.8</v>
      </c>
      <c r="M25" s="16" t="s">
        <v>134</v>
      </c>
      <c r="P25" s="61"/>
    </row>
    <row r="26">
      <c r="B26" s="103"/>
      <c r="C26" s="103"/>
      <c r="D26" s="103"/>
      <c r="E26" s="103"/>
      <c r="F26" s="108"/>
      <c r="G26" s="104"/>
      <c r="H26" s="104"/>
      <c r="K26" s="108"/>
      <c r="L26" s="100"/>
      <c r="P26" s="61"/>
    </row>
    <row r="27">
      <c r="A27" s="15">
        <v>44634.0</v>
      </c>
      <c r="B27" s="97" t="s">
        <v>59</v>
      </c>
      <c r="C27" s="97" t="s">
        <v>112</v>
      </c>
      <c r="D27" s="97" t="s">
        <v>135</v>
      </c>
      <c r="E27" s="97" t="s">
        <v>136</v>
      </c>
      <c r="F27" s="98">
        <v>95.0</v>
      </c>
      <c r="G27" s="104"/>
      <c r="H27" s="104"/>
      <c r="I27" s="16">
        <v>0.2</v>
      </c>
      <c r="K27" s="108">
        <f>-266-I27</f>
        <v>-266.2</v>
      </c>
      <c r="L27" s="111">
        <f t="shared" ref="L27:L29" si="12">sum(J27:K27)</f>
        <v>-266.2</v>
      </c>
      <c r="N27" s="102">
        <v>0.73</v>
      </c>
      <c r="P27" s="102">
        <v>0.3255</v>
      </c>
      <c r="S27" s="102">
        <v>0.17</v>
      </c>
    </row>
    <row r="28">
      <c r="A28" s="15">
        <v>44642.0</v>
      </c>
      <c r="B28" s="97" t="s">
        <v>59</v>
      </c>
      <c r="C28" s="97" t="s">
        <v>112</v>
      </c>
      <c r="D28" s="97" t="s">
        <v>113</v>
      </c>
      <c r="E28" s="97" t="s">
        <v>137</v>
      </c>
      <c r="F28" s="98">
        <v>85.0</v>
      </c>
      <c r="G28" s="99"/>
      <c r="H28" s="99">
        <v>396.0</v>
      </c>
      <c r="I28" s="16">
        <v>0.25</v>
      </c>
      <c r="J28" s="8">
        <f t="shared" ref="J28:J32" si="13">H28-I28</f>
        <v>395.75</v>
      </c>
      <c r="K28" s="8">
        <f>-7-0.25</f>
        <v>-7.25</v>
      </c>
      <c r="L28" s="100">
        <f t="shared" si="12"/>
        <v>388.5</v>
      </c>
      <c r="M28" s="16" t="s">
        <v>138</v>
      </c>
      <c r="N28" s="102">
        <v>0.59</v>
      </c>
      <c r="P28" s="102">
        <v>0.2505</v>
      </c>
      <c r="Q28" s="102">
        <v>0.55</v>
      </c>
      <c r="R28" s="98" t="s">
        <v>125</v>
      </c>
      <c r="S28" s="102">
        <v>0.67</v>
      </c>
    </row>
    <row r="29">
      <c r="A29" s="15">
        <v>44642.0</v>
      </c>
      <c r="B29" s="97" t="s">
        <v>5</v>
      </c>
      <c r="C29" s="97" t="s">
        <v>112</v>
      </c>
      <c r="D29" s="97" t="s">
        <v>113</v>
      </c>
      <c r="E29" s="97" t="s">
        <v>137</v>
      </c>
      <c r="F29" s="98">
        <v>235.0</v>
      </c>
      <c r="G29" s="99"/>
      <c r="H29" s="99">
        <v>100.0</v>
      </c>
      <c r="I29" s="16">
        <v>1.05</v>
      </c>
      <c r="J29" s="8">
        <f t="shared" si="13"/>
        <v>98.95</v>
      </c>
      <c r="K29" s="8">
        <f>-5-1.9</f>
        <v>-6.9</v>
      </c>
      <c r="L29" s="100">
        <f t="shared" si="12"/>
        <v>92.05</v>
      </c>
      <c r="M29" s="16" t="s">
        <v>139</v>
      </c>
      <c r="N29" s="102">
        <v>0.19</v>
      </c>
      <c r="P29" s="102">
        <v>0.2505</v>
      </c>
      <c r="Q29" s="102">
        <v>0.76</v>
      </c>
      <c r="R29" s="98" t="s">
        <v>125</v>
      </c>
      <c r="S29" s="102">
        <v>0.79</v>
      </c>
    </row>
    <row r="30">
      <c r="A30" s="15">
        <v>44642.0</v>
      </c>
      <c r="B30" s="97" t="s">
        <v>58</v>
      </c>
      <c r="C30" s="97" t="s">
        <v>116</v>
      </c>
      <c r="D30" s="97" t="s">
        <v>113</v>
      </c>
      <c r="E30" s="97" t="s">
        <v>137</v>
      </c>
      <c r="F30" s="98">
        <v>35.0</v>
      </c>
      <c r="G30" s="99"/>
      <c r="H30" s="99">
        <v>95.0</v>
      </c>
      <c r="I30" s="16">
        <v>1.05</v>
      </c>
      <c r="J30" s="8">
        <f t="shared" si="13"/>
        <v>93.95</v>
      </c>
      <c r="K30" s="8">
        <f>(33.36-35)*100</f>
        <v>-164</v>
      </c>
      <c r="L30" s="100"/>
      <c r="M30" s="44" t="s">
        <v>133</v>
      </c>
      <c r="N30" s="102">
        <v>0.88</v>
      </c>
      <c r="P30" s="102">
        <v>0.2505</v>
      </c>
      <c r="Q30" s="102">
        <v>0.82</v>
      </c>
      <c r="R30" s="98" t="s">
        <v>125</v>
      </c>
      <c r="S30" s="102">
        <v>0.85</v>
      </c>
    </row>
    <row r="31">
      <c r="A31" s="15">
        <v>44643.0</v>
      </c>
      <c r="B31" s="97" t="s">
        <v>58</v>
      </c>
      <c r="C31" s="97" t="s">
        <v>112</v>
      </c>
      <c r="D31" s="97" t="s">
        <v>113</v>
      </c>
      <c r="E31" s="97" t="s">
        <v>137</v>
      </c>
      <c r="F31" s="98">
        <v>50.0</v>
      </c>
      <c r="G31" s="99"/>
      <c r="H31" s="99">
        <v>156.0</v>
      </c>
      <c r="I31" s="16">
        <v>0.2</v>
      </c>
      <c r="J31" s="8">
        <f t="shared" si="13"/>
        <v>155.8</v>
      </c>
      <c r="K31" s="8">
        <f>-5-1.9</f>
        <v>-6.9</v>
      </c>
      <c r="L31" s="100">
        <f t="shared" ref="L31:L32" si="14">sum(J31:K31)</f>
        <v>148.9</v>
      </c>
      <c r="M31" s="16" t="s">
        <v>139</v>
      </c>
      <c r="N31" s="102">
        <v>0.9</v>
      </c>
      <c r="P31" s="102">
        <v>0.254</v>
      </c>
      <c r="Q31" s="102">
        <v>0.73</v>
      </c>
      <c r="R31" s="98" t="s">
        <v>125</v>
      </c>
      <c r="S31" s="102">
        <v>0.78</v>
      </c>
    </row>
    <row r="32">
      <c r="A32" s="15">
        <v>44643.0</v>
      </c>
      <c r="B32" s="97" t="s">
        <v>0</v>
      </c>
      <c r="C32" s="97" t="s">
        <v>112</v>
      </c>
      <c r="D32" s="97" t="s">
        <v>113</v>
      </c>
      <c r="E32" s="97" t="s">
        <v>137</v>
      </c>
      <c r="F32" s="98">
        <v>28.0</v>
      </c>
      <c r="G32" s="99"/>
      <c r="H32" s="99">
        <v>79.0</v>
      </c>
      <c r="I32" s="16">
        <v>0.2</v>
      </c>
      <c r="J32" s="8">
        <f t="shared" si="13"/>
        <v>78.8</v>
      </c>
      <c r="K32" s="8">
        <f>-5-0.3</f>
        <v>-5.3</v>
      </c>
      <c r="L32" s="100">
        <f t="shared" si="14"/>
        <v>73.5</v>
      </c>
      <c r="M32" s="16" t="s">
        <v>139</v>
      </c>
      <c r="N32" s="102">
        <v>0.38</v>
      </c>
      <c r="P32" s="102">
        <v>0.254</v>
      </c>
      <c r="Q32" s="102">
        <v>0.6</v>
      </c>
      <c r="R32" s="98" t="s">
        <v>125</v>
      </c>
      <c r="S32" s="102">
        <v>0.7</v>
      </c>
    </row>
    <row r="33">
      <c r="B33" s="103"/>
      <c r="C33" s="103"/>
      <c r="D33" s="103"/>
      <c r="E33" s="103"/>
      <c r="F33" s="108"/>
      <c r="G33" s="104"/>
      <c r="H33" s="104"/>
      <c r="L33" s="100"/>
      <c r="P33" s="61"/>
    </row>
    <row r="34">
      <c r="A34" s="15">
        <v>44663.0</v>
      </c>
      <c r="B34" s="97" t="s">
        <v>59</v>
      </c>
      <c r="C34" s="97" t="s">
        <v>116</v>
      </c>
      <c r="D34" s="97" t="s">
        <v>113</v>
      </c>
      <c r="E34" s="97" t="s">
        <v>140</v>
      </c>
      <c r="F34" s="98">
        <v>60.0</v>
      </c>
      <c r="G34" s="99"/>
      <c r="H34" s="99">
        <v>175.0</v>
      </c>
      <c r="I34" s="16">
        <v>1.05</v>
      </c>
      <c r="J34" s="8">
        <f t="shared" ref="J34:J39" si="15">H34-I34</f>
        <v>173.95</v>
      </c>
      <c r="L34" s="100">
        <f t="shared" ref="L34:L37" si="16">sum(J34:K34)</f>
        <v>173.95</v>
      </c>
      <c r="M34" s="67" t="s">
        <v>141</v>
      </c>
      <c r="N34" s="102">
        <v>0.65</v>
      </c>
      <c r="P34" s="102">
        <v>0.243</v>
      </c>
      <c r="Q34" s="102">
        <v>0.8</v>
      </c>
      <c r="R34" s="98" t="s">
        <v>125</v>
      </c>
      <c r="S34" s="102">
        <v>0.83</v>
      </c>
    </row>
    <row r="35">
      <c r="A35" s="15">
        <v>44600.0</v>
      </c>
      <c r="B35" s="97" t="s">
        <v>85</v>
      </c>
      <c r="C35" s="97" t="s">
        <v>112</v>
      </c>
      <c r="D35" s="97" t="s">
        <v>113</v>
      </c>
      <c r="E35" s="97" t="s">
        <v>140</v>
      </c>
      <c r="F35" s="98">
        <v>42.5</v>
      </c>
      <c r="G35" s="99"/>
      <c r="H35" s="99">
        <v>85.0</v>
      </c>
      <c r="I35" s="16">
        <v>0.19</v>
      </c>
      <c r="J35" s="8">
        <f t="shared" si="15"/>
        <v>84.81</v>
      </c>
      <c r="L35" s="100">
        <f t="shared" si="16"/>
        <v>84.81</v>
      </c>
      <c r="M35" s="16" t="s">
        <v>115</v>
      </c>
      <c r="P35" s="61"/>
    </row>
    <row r="36">
      <c r="A36" s="15">
        <v>44664.0</v>
      </c>
      <c r="B36" s="97" t="s">
        <v>0</v>
      </c>
      <c r="C36" s="97" t="s">
        <v>112</v>
      </c>
      <c r="D36" s="97" t="s">
        <v>113</v>
      </c>
      <c r="E36" s="97" t="s">
        <v>140</v>
      </c>
      <c r="F36" s="98">
        <v>28.0</v>
      </c>
      <c r="G36" s="99"/>
      <c r="H36" s="99">
        <v>100.0</v>
      </c>
      <c r="I36" s="16">
        <v>1.05</v>
      </c>
      <c r="J36" s="8">
        <f t="shared" si="15"/>
        <v>98.95</v>
      </c>
      <c r="L36" s="100">
        <f t="shared" si="16"/>
        <v>98.95</v>
      </c>
      <c r="M36" s="16" t="s">
        <v>115</v>
      </c>
      <c r="N36" s="102">
        <v>0.3</v>
      </c>
      <c r="P36" s="102">
        <v>0.231</v>
      </c>
      <c r="Q36" s="102">
        <v>0.52</v>
      </c>
      <c r="R36" s="98" t="s">
        <v>125</v>
      </c>
      <c r="S36" s="102">
        <v>0.66</v>
      </c>
    </row>
    <row r="37">
      <c r="A37" s="20">
        <v>44684.0</v>
      </c>
      <c r="B37" s="97" t="s">
        <v>59</v>
      </c>
      <c r="C37" s="97" t="s">
        <v>112</v>
      </c>
      <c r="D37" s="97" t="s">
        <v>113</v>
      </c>
      <c r="E37" s="97" t="s">
        <v>140</v>
      </c>
      <c r="F37" s="98">
        <v>85.0</v>
      </c>
      <c r="G37" s="16"/>
      <c r="H37" s="16">
        <v>129.0</v>
      </c>
      <c r="I37" s="16">
        <v>0.25</v>
      </c>
      <c r="J37" s="8">
        <f t="shared" si="15"/>
        <v>128.75</v>
      </c>
      <c r="L37" s="100">
        <f t="shared" si="16"/>
        <v>128.75</v>
      </c>
      <c r="M37" s="16" t="s">
        <v>115</v>
      </c>
      <c r="N37" s="102">
        <v>0.81</v>
      </c>
      <c r="P37" s="102">
        <v>0.294</v>
      </c>
      <c r="Q37" s="102">
        <v>0.81</v>
      </c>
      <c r="R37" s="98" t="s">
        <v>125</v>
      </c>
      <c r="S37" s="102">
        <v>0.83</v>
      </c>
    </row>
    <row r="38">
      <c r="A38" s="20">
        <v>44684.0</v>
      </c>
      <c r="B38" s="97" t="s">
        <v>58</v>
      </c>
      <c r="C38" s="97" t="s">
        <v>116</v>
      </c>
      <c r="D38" s="97" t="s">
        <v>113</v>
      </c>
      <c r="E38" s="97" t="s">
        <v>140</v>
      </c>
      <c r="F38" s="98">
        <v>25.0</v>
      </c>
      <c r="G38" s="16"/>
      <c r="H38" s="16">
        <v>146.0</v>
      </c>
      <c r="I38" s="16">
        <v>0.25</v>
      </c>
      <c r="J38" s="8">
        <f t="shared" si="15"/>
        <v>145.75</v>
      </c>
      <c r="M38" s="44" t="s">
        <v>133</v>
      </c>
      <c r="N38" s="102">
        <v>1.14</v>
      </c>
      <c r="P38" s="102">
        <v>0.294</v>
      </c>
      <c r="Q38" s="102">
        <v>0.65</v>
      </c>
      <c r="R38" s="98" t="s">
        <v>125</v>
      </c>
      <c r="S38" s="102">
        <v>0.74</v>
      </c>
    </row>
    <row r="39">
      <c r="A39" s="20">
        <v>44685.0</v>
      </c>
      <c r="B39" s="97" t="s">
        <v>5</v>
      </c>
      <c r="C39" s="97" t="s">
        <v>112</v>
      </c>
      <c r="D39" s="97" t="s">
        <v>113</v>
      </c>
      <c r="E39" s="97" t="s">
        <v>140</v>
      </c>
      <c r="F39" s="98">
        <v>220.0</v>
      </c>
      <c r="G39" s="16"/>
      <c r="H39" s="16">
        <v>100.0</v>
      </c>
      <c r="I39" s="16">
        <v>1.05</v>
      </c>
      <c r="J39" s="8">
        <f t="shared" si="15"/>
        <v>98.95</v>
      </c>
      <c r="L39" s="100">
        <f>sum(J39:K39)</f>
        <v>98.95</v>
      </c>
      <c r="M39" s="16" t="s">
        <v>115</v>
      </c>
      <c r="N39" s="102">
        <v>0.26</v>
      </c>
      <c r="P39" s="102">
        <v>0.28</v>
      </c>
      <c r="Q39" s="102">
        <v>0.79</v>
      </c>
      <c r="R39" s="98" t="s">
        <v>125</v>
      </c>
      <c r="S39" s="102">
        <v>0.81</v>
      </c>
    </row>
    <row r="40">
      <c r="B40" s="103"/>
      <c r="C40" s="103"/>
      <c r="D40" s="103"/>
      <c r="E40" s="103"/>
      <c r="F40" s="108"/>
      <c r="P40" s="61"/>
    </row>
    <row r="41">
      <c r="A41" s="15">
        <v>44705.0</v>
      </c>
      <c r="B41" s="97" t="s">
        <v>85</v>
      </c>
      <c r="C41" s="97" t="s">
        <v>112</v>
      </c>
      <c r="D41" s="97" t="s">
        <v>113</v>
      </c>
      <c r="E41" s="97" t="s">
        <v>136</v>
      </c>
      <c r="F41" s="98">
        <v>37.5</v>
      </c>
      <c r="G41" s="16"/>
      <c r="H41" s="16">
        <v>151.0</v>
      </c>
      <c r="I41" s="16">
        <v>0.25</v>
      </c>
      <c r="J41" s="8">
        <f t="shared" ref="J41:J45" si="17">H41-I41</f>
        <v>150.75</v>
      </c>
      <c r="K41" s="16">
        <v>0.0</v>
      </c>
      <c r="L41" s="100">
        <f t="shared" ref="L41:L45" si="18">sum(J41:K41)</f>
        <v>150.75</v>
      </c>
      <c r="M41" s="16" t="s">
        <v>142</v>
      </c>
      <c r="N41" s="102">
        <v>0.31</v>
      </c>
      <c r="P41" s="102">
        <v>0.28</v>
      </c>
      <c r="Q41" s="102">
        <v>0.26</v>
      </c>
      <c r="S41" s="102">
        <v>0.56</v>
      </c>
    </row>
    <row r="42">
      <c r="A42" s="15">
        <v>44707.0</v>
      </c>
      <c r="B42" s="97" t="s">
        <v>5</v>
      </c>
      <c r="C42" s="97" t="s">
        <v>112</v>
      </c>
      <c r="D42" s="97" t="s">
        <v>113</v>
      </c>
      <c r="E42" s="97" t="s">
        <v>136</v>
      </c>
      <c r="F42" s="98">
        <v>215.0</v>
      </c>
      <c r="G42" s="16"/>
      <c r="H42" s="16">
        <v>94.0</v>
      </c>
      <c r="I42" s="16">
        <v>1.05</v>
      </c>
      <c r="J42" s="8">
        <f t="shared" si="17"/>
        <v>92.95</v>
      </c>
      <c r="K42" s="16">
        <v>0.0</v>
      </c>
      <c r="L42" s="100">
        <f t="shared" si="18"/>
        <v>92.95</v>
      </c>
      <c r="M42" s="16" t="s">
        <v>115</v>
      </c>
      <c r="N42" s="102">
        <v>0.26</v>
      </c>
      <c r="P42" s="102">
        <v>0.28</v>
      </c>
      <c r="Q42" s="102">
        <v>0.81</v>
      </c>
      <c r="S42" s="102">
        <v>0.82</v>
      </c>
    </row>
    <row r="43">
      <c r="A43" s="15">
        <v>44707.0</v>
      </c>
      <c r="B43" s="97" t="s">
        <v>58</v>
      </c>
      <c r="C43" s="97" t="s">
        <v>112</v>
      </c>
      <c r="D43" s="97" t="s">
        <v>113</v>
      </c>
      <c r="E43" s="97" t="s">
        <v>136</v>
      </c>
      <c r="F43" s="98">
        <v>25.0</v>
      </c>
      <c r="G43" s="16"/>
      <c r="H43" s="16">
        <v>171.0</v>
      </c>
      <c r="I43" s="16">
        <v>0.21</v>
      </c>
      <c r="J43" s="8">
        <f t="shared" si="17"/>
        <v>170.79</v>
      </c>
      <c r="K43" s="16">
        <v>0.0</v>
      </c>
      <c r="L43" s="100">
        <f t="shared" si="18"/>
        <v>170.79</v>
      </c>
      <c r="M43" s="16" t="s">
        <v>115</v>
      </c>
      <c r="N43" s="102">
        <v>1.39</v>
      </c>
      <c r="P43" s="102">
        <v>0.28</v>
      </c>
      <c r="Q43" s="102">
        <v>0.67</v>
      </c>
      <c r="S43" s="102">
        <v>0.73</v>
      </c>
    </row>
    <row r="44">
      <c r="A44" s="15">
        <v>44707.0</v>
      </c>
      <c r="B44" s="97" t="s">
        <v>59</v>
      </c>
      <c r="C44" s="97" t="s">
        <v>112</v>
      </c>
      <c r="D44" s="97" t="s">
        <v>113</v>
      </c>
      <c r="E44" s="97" t="s">
        <v>136</v>
      </c>
      <c r="F44" s="98">
        <v>60.0</v>
      </c>
      <c r="G44" s="16"/>
      <c r="H44" s="16">
        <v>141.0</v>
      </c>
      <c r="I44" s="16">
        <v>0.25</v>
      </c>
      <c r="J44" s="8">
        <f t="shared" si="17"/>
        <v>140.75</v>
      </c>
      <c r="K44" s="16">
        <v>0.0</v>
      </c>
      <c r="L44" s="100">
        <f t="shared" si="18"/>
        <v>140.75</v>
      </c>
      <c r="M44" s="16" t="s">
        <v>115</v>
      </c>
      <c r="N44" s="102">
        <v>0.7</v>
      </c>
      <c r="P44" s="102">
        <v>0.28</v>
      </c>
      <c r="Q44" s="102">
        <v>0.73</v>
      </c>
      <c r="S44" s="102">
        <v>0.77</v>
      </c>
    </row>
    <row r="45">
      <c r="A45" s="15">
        <v>44707.0</v>
      </c>
      <c r="B45" s="97" t="s">
        <v>0</v>
      </c>
      <c r="C45" s="97" t="s">
        <v>112</v>
      </c>
      <c r="D45" s="97" t="s">
        <v>113</v>
      </c>
      <c r="E45" s="97" t="s">
        <v>136</v>
      </c>
      <c r="F45" s="98">
        <v>29.0</v>
      </c>
      <c r="G45" s="16"/>
      <c r="H45" s="16">
        <v>50.0</v>
      </c>
      <c r="I45" s="16">
        <v>0.55</v>
      </c>
      <c r="J45" s="8">
        <f t="shared" si="17"/>
        <v>49.45</v>
      </c>
      <c r="K45" s="16">
        <v>0.0</v>
      </c>
      <c r="L45" s="100">
        <f t="shared" si="18"/>
        <v>49.45</v>
      </c>
      <c r="M45" s="16" t="s">
        <v>115</v>
      </c>
      <c r="N45" s="102">
        <v>0.26</v>
      </c>
      <c r="P45" s="102">
        <v>0.28</v>
      </c>
      <c r="Q45" s="102">
        <v>0.58</v>
      </c>
      <c r="S45" s="102">
        <v>0.68</v>
      </c>
    </row>
    <row r="46">
      <c r="B46" s="103"/>
      <c r="C46" s="103"/>
      <c r="D46" s="103"/>
      <c r="E46" s="103"/>
      <c r="F46" s="108"/>
    </row>
    <row r="47">
      <c r="A47" s="15">
        <v>44755.0</v>
      </c>
      <c r="B47" s="97" t="s">
        <v>59</v>
      </c>
      <c r="C47" s="97" t="s">
        <v>112</v>
      </c>
      <c r="D47" s="97" t="s">
        <v>113</v>
      </c>
      <c r="E47" s="97" t="s">
        <v>143</v>
      </c>
      <c r="F47" s="98">
        <v>60.0</v>
      </c>
      <c r="G47" s="16"/>
      <c r="H47" s="16">
        <v>296.0</v>
      </c>
      <c r="I47" s="16">
        <v>1.91</v>
      </c>
      <c r="J47" s="8">
        <f t="shared" ref="J47:J50" si="19">H47-I47</f>
        <v>294.09</v>
      </c>
      <c r="L47" s="8">
        <f t="shared" ref="L47:L50" si="20">sum(J47:K47)</f>
        <v>294.09</v>
      </c>
      <c r="M47" s="16" t="s">
        <v>144</v>
      </c>
      <c r="N47" s="102">
        <v>0.78</v>
      </c>
      <c r="P47" s="102">
        <v>0.27</v>
      </c>
      <c r="Q47" s="102">
        <v>0.66</v>
      </c>
      <c r="S47" s="102">
        <v>0.73</v>
      </c>
    </row>
    <row r="48">
      <c r="A48" s="15">
        <v>44762.0</v>
      </c>
      <c r="B48" s="97" t="s">
        <v>59</v>
      </c>
      <c r="C48" s="97" t="s">
        <v>112</v>
      </c>
      <c r="D48" s="97" t="s">
        <v>113</v>
      </c>
      <c r="E48" s="97" t="s">
        <v>143</v>
      </c>
      <c r="F48" s="98">
        <v>70.0</v>
      </c>
      <c r="G48" s="16"/>
      <c r="H48" s="16">
        <v>171.0</v>
      </c>
      <c r="I48" s="16">
        <v>1.91</v>
      </c>
      <c r="J48" s="8">
        <f t="shared" si="19"/>
        <v>169.09</v>
      </c>
      <c r="K48" s="16">
        <f>-310-1.05</f>
        <v>-311.05</v>
      </c>
      <c r="L48" s="100">
        <f t="shared" si="20"/>
        <v>-141.96</v>
      </c>
      <c r="M48" s="16" t="s">
        <v>145</v>
      </c>
      <c r="N48" s="102">
        <v>0.77</v>
      </c>
      <c r="P48" s="102">
        <v>0.27</v>
      </c>
      <c r="Q48" s="102">
        <v>0.75</v>
      </c>
      <c r="S48" s="102">
        <v>0.79</v>
      </c>
    </row>
    <row r="49">
      <c r="A49" s="15">
        <v>44763.0</v>
      </c>
      <c r="B49" s="97" t="s">
        <v>58</v>
      </c>
      <c r="C49" s="97" t="s">
        <v>112</v>
      </c>
      <c r="D49" s="97" t="s">
        <v>113</v>
      </c>
      <c r="E49" s="97" t="s">
        <v>143</v>
      </c>
      <c r="F49" s="98">
        <v>25.0</v>
      </c>
      <c r="G49" s="16"/>
      <c r="H49" s="16">
        <v>49.0</v>
      </c>
      <c r="I49" s="16">
        <v>0.25</v>
      </c>
      <c r="J49" s="8">
        <f t="shared" si="19"/>
        <v>48.75</v>
      </c>
      <c r="L49" s="8">
        <f t="shared" si="20"/>
        <v>48.75</v>
      </c>
      <c r="M49" s="16" t="s">
        <v>115</v>
      </c>
      <c r="N49" s="102">
        <v>0.97</v>
      </c>
      <c r="P49" s="102">
        <v>0.26</v>
      </c>
      <c r="Q49" s="102">
        <v>0.9</v>
      </c>
      <c r="S49" s="102">
        <v>0.91</v>
      </c>
    </row>
    <row r="50">
      <c r="A50" s="15">
        <v>44762.0</v>
      </c>
      <c r="B50" s="97" t="s">
        <v>59</v>
      </c>
      <c r="C50" s="97" t="s">
        <v>112</v>
      </c>
      <c r="D50" s="97" t="s">
        <v>113</v>
      </c>
      <c r="E50" s="97" t="s">
        <v>143</v>
      </c>
      <c r="F50" s="98">
        <v>80.0</v>
      </c>
      <c r="G50" s="16"/>
      <c r="H50" s="16">
        <v>47.0</v>
      </c>
      <c r="I50" s="16">
        <v>1.05</v>
      </c>
      <c r="J50" s="8">
        <f t="shared" si="19"/>
        <v>45.95</v>
      </c>
      <c r="L50" s="8">
        <f t="shared" si="20"/>
        <v>45.95</v>
      </c>
      <c r="M50" s="16" t="s">
        <v>115</v>
      </c>
      <c r="N50" s="102">
        <v>0.62</v>
      </c>
      <c r="P50" s="102">
        <v>0.24</v>
      </c>
      <c r="Q50" s="102">
        <v>0.87</v>
      </c>
      <c r="S50" s="102">
        <v>0.88</v>
      </c>
    </row>
    <row r="51">
      <c r="A51" s="15"/>
      <c r="B51" s="97"/>
      <c r="C51" s="97"/>
      <c r="D51" s="97"/>
      <c r="E51" s="97"/>
      <c r="F51" s="98"/>
      <c r="G51" s="16"/>
      <c r="H51" s="16"/>
      <c r="I51" s="16"/>
      <c r="L51" s="100"/>
      <c r="M51" s="16"/>
      <c r="N51" s="102"/>
      <c r="O51" s="102"/>
      <c r="P51" s="102"/>
      <c r="Q51" s="102"/>
      <c r="S51" s="102"/>
    </row>
    <row r="52">
      <c r="A52" s="15">
        <v>44781.0</v>
      </c>
      <c r="B52" s="97" t="s">
        <v>58</v>
      </c>
      <c r="C52" s="97" t="s">
        <v>112</v>
      </c>
      <c r="D52" s="97" t="s">
        <v>113</v>
      </c>
      <c r="E52" s="97" t="s">
        <v>146</v>
      </c>
      <c r="F52" s="98">
        <v>35.0</v>
      </c>
      <c r="G52" s="16"/>
      <c r="H52" s="16">
        <v>140.0</v>
      </c>
      <c r="I52" s="16">
        <v>0.3</v>
      </c>
      <c r="J52" s="8">
        <f t="shared" ref="J52:J55" si="21">H52-I52</f>
        <v>139.7</v>
      </c>
      <c r="K52" s="8">
        <f>-39-0.2</f>
        <v>-39.2</v>
      </c>
      <c r="L52" s="100">
        <f>sum(J52:K52)</f>
        <v>100.5</v>
      </c>
      <c r="M52" s="16" t="s">
        <v>147</v>
      </c>
      <c r="N52" s="102">
        <v>1.06</v>
      </c>
      <c r="O52" s="102">
        <v>0.93</v>
      </c>
      <c r="P52" s="102">
        <v>0.23</v>
      </c>
      <c r="Q52" s="102">
        <v>0.85</v>
      </c>
      <c r="S52" s="102">
        <v>0.86</v>
      </c>
    </row>
    <row r="53">
      <c r="A53" s="15">
        <v>44785.0</v>
      </c>
      <c r="B53" s="97" t="s">
        <v>59</v>
      </c>
      <c r="C53" s="97" t="s">
        <v>148</v>
      </c>
      <c r="D53" s="97" t="s">
        <v>135</v>
      </c>
      <c r="E53" s="97" t="s">
        <v>149</v>
      </c>
      <c r="F53" s="98" t="s">
        <v>150</v>
      </c>
      <c r="G53" s="16">
        <v>10.0</v>
      </c>
      <c r="H53" s="16">
        <f>144+1359</f>
        <v>1503</v>
      </c>
      <c r="I53" s="16">
        <f>1.31+12.68</f>
        <v>13.99</v>
      </c>
      <c r="J53" s="8">
        <f t="shared" si="21"/>
        <v>1489.01</v>
      </c>
      <c r="M53" s="16" t="s">
        <v>151</v>
      </c>
      <c r="N53" s="102">
        <v>0.53</v>
      </c>
      <c r="O53" s="102">
        <v>0.7</v>
      </c>
      <c r="P53" s="102">
        <v>0.21</v>
      </c>
      <c r="Q53" s="102">
        <v>0.76</v>
      </c>
      <c r="S53" s="102">
        <v>0.77</v>
      </c>
    </row>
    <row r="54">
      <c r="A54" s="112">
        <v>44792.0</v>
      </c>
      <c r="B54" s="97" t="s">
        <v>59</v>
      </c>
      <c r="C54" s="113"/>
      <c r="D54" s="113"/>
      <c r="E54" s="113"/>
      <c r="F54" s="114"/>
      <c r="G54" s="115">
        <v>-5.0</v>
      </c>
      <c r="H54" s="116">
        <f>J53/2</f>
        <v>744.505</v>
      </c>
      <c r="I54" s="115">
        <v>7.02</v>
      </c>
      <c r="J54" s="116">
        <f t="shared" si="21"/>
        <v>737.485</v>
      </c>
      <c r="K54" s="117">
        <f>-1.07*100*5</f>
        <v>-535</v>
      </c>
      <c r="L54" s="118">
        <f t="shared" ref="L54:L55" si="22">sum(J54:K54)</f>
        <v>202.485</v>
      </c>
      <c r="M54" s="115" t="s">
        <v>152</v>
      </c>
    </row>
    <row r="55">
      <c r="A55" s="112">
        <v>44795.0</v>
      </c>
      <c r="B55" s="97" t="s">
        <v>59</v>
      </c>
      <c r="C55" s="113"/>
      <c r="D55" s="113"/>
      <c r="E55" s="113"/>
      <c r="F55" s="114"/>
      <c r="G55" s="115">
        <v>-5.0</v>
      </c>
      <c r="H55" s="116">
        <f>H54</f>
        <v>744.505</v>
      </c>
      <c r="I55" s="115">
        <v>7.02</v>
      </c>
      <c r="J55" s="116">
        <f t="shared" si="21"/>
        <v>737.485</v>
      </c>
      <c r="K55" s="115">
        <v>-550.0</v>
      </c>
      <c r="L55" s="118">
        <f t="shared" si="22"/>
        <v>187.485</v>
      </c>
      <c r="M55" s="115" t="s">
        <v>153</v>
      </c>
    </row>
    <row r="56">
      <c r="A56" s="15"/>
      <c r="B56" s="97"/>
      <c r="C56" s="97"/>
      <c r="D56" s="97"/>
      <c r="E56" s="97"/>
      <c r="F56" s="98"/>
      <c r="G56" s="16"/>
      <c r="H56" s="16"/>
      <c r="I56" s="16"/>
      <c r="N56" s="102"/>
      <c r="O56" s="102"/>
      <c r="P56" s="102"/>
      <c r="Q56" s="102"/>
      <c r="S56" s="102"/>
    </row>
    <row r="57">
      <c r="A57" s="15">
        <v>44795.0</v>
      </c>
      <c r="B57" s="97" t="s">
        <v>59</v>
      </c>
      <c r="C57" s="97" t="s">
        <v>116</v>
      </c>
      <c r="D57" s="97" t="s">
        <v>113</v>
      </c>
      <c r="E57" s="97" t="s">
        <v>146</v>
      </c>
      <c r="F57" s="98">
        <v>70.0</v>
      </c>
      <c r="G57" s="16">
        <v>1.0</v>
      </c>
      <c r="H57" s="16">
        <v>331.0</v>
      </c>
      <c r="I57" s="16">
        <v>0.26</v>
      </c>
      <c r="J57" s="8">
        <f t="shared" ref="J57:J59" si="23">H57-I57</f>
        <v>330.74</v>
      </c>
      <c r="K57" s="16">
        <v>0.0</v>
      </c>
      <c r="L57" s="119">
        <f t="shared" ref="L57:L59" si="24">sum(J57:K57)</f>
        <v>330.74</v>
      </c>
      <c r="M57" s="16" t="s">
        <v>154</v>
      </c>
      <c r="N57" s="102">
        <v>0.58</v>
      </c>
      <c r="O57" s="102">
        <v>0.67</v>
      </c>
      <c r="P57" s="102">
        <v>0.26</v>
      </c>
      <c r="Q57" s="102">
        <v>0.59</v>
      </c>
      <c r="S57" s="102">
        <v>0.7</v>
      </c>
    </row>
    <row r="58">
      <c r="A58" s="15">
        <v>44795.0</v>
      </c>
      <c r="B58" s="97" t="s">
        <v>0</v>
      </c>
      <c r="C58" s="97" t="s">
        <v>112</v>
      </c>
      <c r="D58" s="97" t="s">
        <v>113</v>
      </c>
      <c r="E58" s="97" t="s">
        <v>146</v>
      </c>
      <c r="F58" s="98">
        <v>26.0</v>
      </c>
      <c r="G58" s="16">
        <v>1.0</v>
      </c>
      <c r="H58" s="16">
        <v>80.0</v>
      </c>
      <c r="I58" s="16">
        <v>0.3</v>
      </c>
      <c r="J58" s="8">
        <f t="shared" si="23"/>
        <v>79.7</v>
      </c>
      <c r="L58" s="119">
        <f t="shared" si="24"/>
        <v>79.7</v>
      </c>
      <c r="M58" s="16" t="s">
        <v>154</v>
      </c>
      <c r="N58" s="102">
        <v>0.27</v>
      </c>
      <c r="O58" s="102">
        <v>0.27</v>
      </c>
      <c r="P58" s="102">
        <v>0.26</v>
      </c>
      <c r="Q58" s="102">
        <v>0.47</v>
      </c>
      <c r="S58" s="102">
        <v>0.63</v>
      </c>
    </row>
    <row r="59">
      <c r="A59" s="15">
        <v>44795.0</v>
      </c>
      <c r="B59" s="97" t="s">
        <v>58</v>
      </c>
      <c r="C59" s="97" t="s">
        <v>127</v>
      </c>
      <c r="D59" s="97" t="s">
        <v>135</v>
      </c>
      <c r="E59" s="97" t="s">
        <v>155</v>
      </c>
      <c r="F59" s="98" t="s">
        <v>156</v>
      </c>
      <c r="G59" s="16">
        <v>10.0</v>
      </c>
      <c r="H59" s="16">
        <v>1690.0</v>
      </c>
      <c r="I59" s="16">
        <v>1.45</v>
      </c>
      <c r="J59" s="8">
        <f t="shared" si="23"/>
        <v>1688.55</v>
      </c>
      <c r="K59" s="16">
        <v>-1000.46</v>
      </c>
      <c r="L59" s="100">
        <f t="shared" si="24"/>
        <v>688.09</v>
      </c>
      <c r="M59" s="16" t="s">
        <v>157</v>
      </c>
      <c r="N59" s="102">
        <v>1.11</v>
      </c>
      <c r="O59" s="102">
        <v>0.89</v>
      </c>
      <c r="P59" s="102">
        <v>0.26</v>
      </c>
      <c r="Q59" s="102">
        <v>0.6</v>
      </c>
      <c r="S59" s="102">
        <v>0.68</v>
      </c>
    </row>
    <row r="60">
      <c r="B60" s="103"/>
      <c r="C60" s="103"/>
      <c r="D60" s="103"/>
      <c r="E60" s="103"/>
      <c r="F60" s="108"/>
    </row>
    <row r="61">
      <c r="A61" s="15">
        <v>44802.0</v>
      </c>
      <c r="B61" s="97" t="s">
        <v>54</v>
      </c>
      <c r="C61" s="97" t="s">
        <v>116</v>
      </c>
      <c r="D61" s="97" t="s">
        <v>113</v>
      </c>
      <c r="E61" s="97" t="s">
        <v>158</v>
      </c>
      <c r="F61" s="98">
        <v>108.0</v>
      </c>
      <c r="G61" s="16">
        <v>1.0</v>
      </c>
      <c r="H61" s="16">
        <v>95.0</v>
      </c>
      <c r="I61" s="16">
        <v>1.05</v>
      </c>
      <c r="J61" s="8">
        <f t="shared" ref="J61:J63" si="25">H61-I61</f>
        <v>93.95</v>
      </c>
      <c r="M61" s="44" t="s">
        <v>133</v>
      </c>
      <c r="N61" s="107">
        <v>0.338</v>
      </c>
      <c r="O61" s="102">
        <v>0.336</v>
      </c>
      <c r="P61" s="107">
        <v>0.2585</v>
      </c>
      <c r="Q61" s="102">
        <v>0.68</v>
      </c>
      <c r="S61" s="102">
        <v>0.76</v>
      </c>
    </row>
    <row r="62">
      <c r="A62" s="15">
        <v>44811.0</v>
      </c>
      <c r="B62" s="97" t="s">
        <v>54</v>
      </c>
      <c r="C62" s="97" t="s">
        <v>112</v>
      </c>
      <c r="D62" s="97" t="s">
        <v>113</v>
      </c>
      <c r="E62" s="97" t="s">
        <v>159</v>
      </c>
      <c r="F62" s="98">
        <v>110.0</v>
      </c>
      <c r="G62" s="16">
        <v>1.0</v>
      </c>
      <c r="H62" s="16">
        <v>304.0</v>
      </c>
      <c r="I62" s="16">
        <v>0.76</v>
      </c>
      <c r="J62" s="8">
        <f t="shared" si="25"/>
        <v>303.24</v>
      </c>
      <c r="L62" s="100">
        <f t="shared" ref="L62:L63" si="26">sum(J62:K62)</f>
        <v>303.24</v>
      </c>
      <c r="M62" s="16" t="s">
        <v>154</v>
      </c>
      <c r="N62" s="102">
        <v>0.33</v>
      </c>
      <c r="O62" s="102">
        <v>0.296</v>
      </c>
      <c r="P62" s="102">
        <v>0.25</v>
      </c>
      <c r="Q62" s="102">
        <v>0.5</v>
      </c>
      <c r="S62" s="102">
        <v>0.65</v>
      </c>
    </row>
    <row r="63">
      <c r="A63" s="15">
        <v>44824.0</v>
      </c>
      <c r="B63" s="97" t="s">
        <v>59</v>
      </c>
      <c r="C63" s="97" t="s">
        <v>160</v>
      </c>
      <c r="D63" s="97" t="s">
        <v>113</v>
      </c>
      <c r="E63" s="97" t="s">
        <v>155</v>
      </c>
      <c r="F63" s="98" t="s">
        <v>161</v>
      </c>
      <c r="G63" s="16">
        <v>10.0</v>
      </c>
      <c r="H63" s="16">
        <v>1080.0</v>
      </c>
      <c r="I63" s="16">
        <v>3.78</v>
      </c>
      <c r="J63" s="8">
        <f t="shared" si="25"/>
        <v>1076.22</v>
      </c>
      <c r="K63" s="16">
        <v>-648.32</v>
      </c>
      <c r="L63" s="100">
        <f t="shared" si="26"/>
        <v>427.9</v>
      </c>
      <c r="M63" s="16" t="s">
        <v>162</v>
      </c>
      <c r="N63" s="102">
        <v>0.62</v>
      </c>
      <c r="O63" s="102">
        <v>0.54</v>
      </c>
      <c r="P63" s="102">
        <v>0.28</v>
      </c>
      <c r="Q63" s="102">
        <v>0.71</v>
      </c>
      <c r="S63" s="102">
        <v>0.72</v>
      </c>
    </row>
    <row r="64">
      <c r="A64" s="15"/>
      <c r="B64" s="97"/>
      <c r="C64" s="97"/>
      <c r="D64" s="97"/>
      <c r="E64" s="97"/>
      <c r="F64" s="98"/>
      <c r="G64" s="16"/>
      <c r="H64" s="16"/>
      <c r="I64" s="16"/>
      <c r="N64" s="16"/>
      <c r="O64" s="102"/>
      <c r="P64" s="102"/>
      <c r="Q64" s="102"/>
      <c r="S64" s="102"/>
    </row>
    <row r="65">
      <c r="A65" s="15">
        <v>44824.0</v>
      </c>
      <c r="B65" s="97" t="s">
        <v>5</v>
      </c>
      <c r="C65" s="97" t="s">
        <v>163</v>
      </c>
      <c r="D65" s="97" t="s">
        <v>113</v>
      </c>
      <c r="E65" s="97" t="s">
        <v>164</v>
      </c>
      <c r="F65" s="98" t="s">
        <v>165</v>
      </c>
      <c r="G65" s="16">
        <v>10.0</v>
      </c>
      <c r="H65" s="16">
        <v>707.0</v>
      </c>
      <c r="I65" s="16">
        <v>5.1</v>
      </c>
      <c r="J65" s="8">
        <f t="shared" ref="J65:J70" si="27">H65-I65</f>
        <v>701.9</v>
      </c>
      <c r="L65" s="100">
        <f t="shared" ref="L65:L70" si="28">sum(J65:K65)</f>
        <v>701.9</v>
      </c>
      <c r="M65" s="16" t="s">
        <v>154</v>
      </c>
      <c r="N65" s="16">
        <v>26.4</v>
      </c>
      <c r="O65" s="102">
        <v>0.19</v>
      </c>
      <c r="P65" s="102">
        <v>0.28</v>
      </c>
      <c r="Q65" s="102">
        <v>0.83</v>
      </c>
      <c r="S65" s="102">
        <v>0.84</v>
      </c>
      <c r="T65" s="34">
        <f>5*1000-J65</f>
        <v>4298.1</v>
      </c>
    </row>
    <row r="66">
      <c r="A66" s="15">
        <v>44827.0</v>
      </c>
      <c r="B66" s="97" t="s">
        <v>58</v>
      </c>
      <c r="C66" s="97" t="s">
        <v>163</v>
      </c>
      <c r="D66" s="97" t="s">
        <v>113</v>
      </c>
      <c r="E66" s="97" t="s">
        <v>164</v>
      </c>
      <c r="F66" s="98" t="s">
        <v>166</v>
      </c>
      <c r="G66" s="16">
        <v>5.0</v>
      </c>
      <c r="H66" s="16">
        <v>105.0</v>
      </c>
      <c r="I66" s="16">
        <v>7.01</v>
      </c>
      <c r="J66" s="8">
        <f t="shared" si="27"/>
        <v>97.99</v>
      </c>
      <c r="L66" s="100">
        <f t="shared" si="28"/>
        <v>97.99</v>
      </c>
      <c r="M66" s="16" t="s">
        <v>154</v>
      </c>
      <c r="N66" s="102">
        <v>0.9</v>
      </c>
      <c r="O66" s="102">
        <v>1.0</v>
      </c>
      <c r="P66" s="102">
        <v>0.3</v>
      </c>
      <c r="Q66" s="102">
        <v>0.9</v>
      </c>
      <c r="S66" s="102">
        <v>0.91</v>
      </c>
      <c r="T66" s="16">
        <v>1250.0</v>
      </c>
      <c r="U66" s="120">
        <f>J66/T66</f>
        <v>0.078392</v>
      </c>
    </row>
    <row r="67">
      <c r="A67" s="15">
        <v>44831.0</v>
      </c>
      <c r="B67" s="97" t="s">
        <v>5</v>
      </c>
      <c r="C67" s="97" t="s">
        <v>167</v>
      </c>
      <c r="D67" s="97" t="s">
        <v>135</v>
      </c>
      <c r="E67" s="97" t="s">
        <v>164</v>
      </c>
      <c r="F67" s="98" t="s">
        <v>168</v>
      </c>
      <c r="G67" s="16">
        <v>3.0</v>
      </c>
      <c r="H67" s="16">
        <v>1506.0</v>
      </c>
      <c r="I67" s="16">
        <f>6.9+8.5</f>
        <v>15.4</v>
      </c>
      <c r="J67" s="8">
        <f t="shared" si="27"/>
        <v>1490.6</v>
      </c>
      <c r="K67" s="16">
        <v>-809.0</v>
      </c>
      <c r="L67" s="100">
        <f t="shared" si="28"/>
        <v>681.6</v>
      </c>
      <c r="M67" s="16" t="s">
        <v>169</v>
      </c>
      <c r="N67" s="102">
        <v>0.32</v>
      </c>
      <c r="O67" s="102">
        <v>0.196</v>
      </c>
      <c r="P67" s="107">
        <v>0.337</v>
      </c>
      <c r="Q67" s="98" t="s">
        <v>125</v>
      </c>
      <c r="S67" s="102">
        <v>0.36</v>
      </c>
      <c r="T67" s="16">
        <v>809.0</v>
      </c>
      <c r="U67" s="120"/>
    </row>
    <row r="68">
      <c r="A68" s="15">
        <v>44831.0</v>
      </c>
      <c r="B68" s="97" t="s">
        <v>59</v>
      </c>
      <c r="C68" s="97" t="s">
        <v>112</v>
      </c>
      <c r="D68" s="97" t="s">
        <v>113</v>
      </c>
      <c r="E68" s="97" t="s">
        <v>164</v>
      </c>
      <c r="F68" s="98">
        <v>80.0</v>
      </c>
      <c r="G68" s="16">
        <v>1.0</v>
      </c>
      <c r="H68" s="16">
        <v>131.0</v>
      </c>
      <c r="I68" s="16">
        <v>0.25</v>
      </c>
      <c r="J68" s="8">
        <f t="shared" si="27"/>
        <v>130.75</v>
      </c>
      <c r="L68" s="100">
        <f t="shared" si="28"/>
        <v>130.75</v>
      </c>
      <c r="M68" s="16" t="s">
        <v>154</v>
      </c>
      <c r="N68" s="102">
        <v>0.74</v>
      </c>
      <c r="O68" s="102">
        <v>0.55</v>
      </c>
      <c r="P68" s="107">
        <v>0.337</v>
      </c>
      <c r="Q68" s="102">
        <v>0.79</v>
      </c>
      <c r="S68" s="102">
        <v>0.82</v>
      </c>
      <c r="U68" s="120"/>
    </row>
    <row r="69">
      <c r="A69" s="15">
        <v>44831.0</v>
      </c>
      <c r="B69" s="97" t="s">
        <v>0</v>
      </c>
      <c r="C69" s="97" t="s">
        <v>112</v>
      </c>
      <c r="D69" s="97" t="s">
        <v>113</v>
      </c>
      <c r="E69" s="97" t="s">
        <v>164</v>
      </c>
      <c r="F69" s="98">
        <v>25.0</v>
      </c>
      <c r="G69" s="16">
        <v>1.0</v>
      </c>
      <c r="H69" s="16">
        <v>34.0</v>
      </c>
      <c r="I69" s="16">
        <v>0.25</v>
      </c>
      <c r="J69" s="8">
        <f t="shared" si="27"/>
        <v>33.75</v>
      </c>
      <c r="L69" s="100">
        <f t="shared" si="28"/>
        <v>33.75</v>
      </c>
      <c r="M69" s="16" t="s">
        <v>154</v>
      </c>
      <c r="N69" s="102">
        <v>0.32</v>
      </c>
      <c r="O69" s="102">
        <v>0.26</v>
      </c>
      <c r="P69" s="107">
        <v>0.337</v>
      </c>
      <c r="Q69" s="102">
        <v>0.62</v>
      </c>
      <c r="S69" s="102">
        <v>0.7</v>
      </c>
      <c r="U69" s="120"/>
    </row>
    <row r="70">
      <c r="A70" s="20">
        <v>44839.0</v>
      </c>
      <c r="B70" s="97" t="s">
        <v>54</v>
      </c>
      <c r="C70" s="97" t="s">
        <v>160</v>
      </c>
      <c r="D70" s="97" t="s">
        <v>113</v>
      </c>
      <c r="E70" s="97" t="s">
        <v>170</v>
      </c>
      <c r="F70" s="98" t="s">
        <v>171</v>
      </c>
      <c r="G70" s="16">
        <v>20.0</v>
      </c>
      <c r="H70" s="16">
        <v>400.0</v>
      </c>
      <c r="I70" s="16">
        <v>28.7</v>
      </c>
      <c r="J70" s="8">
        <f t="shared" si="27"/>
        <v>371.3</v>
      </c>
      <c r="L70" s="100">
        <f t="shared" si="28"/>
        <v>371.3</v>
      </c>
      <c r="M70" s="16" t="s">
        <v>154</v>
      </c>
      <c r="N70" s="102">
        <v>0.44</v>
      </c>
      <c r="O70" s="102">
        <v>0.3</v>
      </c>
      <c r="P70" s="102">
        <v>0.29</v>
      </c>
      <c r="Q70" s="102">
        <v>0.83</v>
      </c>
      <c r="S70" s="102">
        <v>0.83</v>
      </c>
      <c r="T70" s="8">
        <f>1*G70*100-J70</f>
        <v>1628.7</v>
      </c>
      <c r="U70" s="61">
        <f>J70/T70</f>
        <v>0.2279732302</v>
      </c>
    </row>
    <row r="71">
      <c r="B71" s="103"/>
      <c r="C71" s="103"/>
      <c r="D71" s="103"/>
      <c r="E71" s="103"/>
      <c r="F71" s="108"/>
      <c r="O71" s="61"/>
    </row>
    <row r="72">
      <c r="A72" s="20">
        <v>44838.0</v>
      </c>
      <c r="B72" s="97" t="s">
        <v>59</v>
      </c>
      <c r="C72" s="97" t="s">
        <v>160</v>
      </c>
      <c r="D72" s="97" t="s">
        <v>113</v>
      </c>
      <c r="E72" s="97" t="s">
        <v>155</v>
      </c>
      <c r="F72" s="98" t="s">
        <v>161</v>
      </c>
      <c r="G72" s="16">
        <v>10.0</v>
      </c>
      <c r="H72" s="16">
        <v>970.0</v>
      </c>
      <c r="I72" s="16">
        <v>10.37</v>
      </c>
      <c r="J72" s="8">
        <f>H72-I72+84.93+3768</f>
        <v>4812.56</v>
      </c>
      <c r="K72" s="8">
        <f>-1736.33-4613.33</f>
        <v>-6349.66</v>
      </c>
      <c r="L72" s="111">
        <f t="shared" ref="L72:L75" si="29">sum(J72:K72)</f>
        <v>-1537.1</v>
      </c>
      <c r="M72" s="44" t="s">
        <v>172</v>
      </c>
      <c r="N72" s="102">
        <v>0.73</v>
      </c>
      <c r="O72" s="102">
        <v>0.61</v>
      </c>
      <c r="P72" s="102">
        <v>0.29</v>
      </c>
      <c r="Q72" s="102">
        <v>0.72</v>
      </c>
      <c r="S72" s="102">
        <v>0.73</v>
      </c>
      <c r="T72" s="48">
        <f>5000-J72</f>
        <v>187.44</v>
      </c>
      <c r="U72" s="61">
        <f>J72/T72</f>
        <v>25.67520273</v>
      </c>
    </row>
    <row r="73">
      <c r="A73" s="20">
        <v>44876.0</v>
      </c>
      <c r="B73" s="97" t="s">
        <v>59</v>
      </c>
      <c r="C73" s="97" t="s">
        <v>167</v>
      </c>
      <c r="D73" s="97" t="s">
        <v>135</v>
      </c>
      <c r="E73" s="97" t="s">
        <v>155</v>
      </c>
      <c r="F73" s="98" t="s">
        <v>173</v>
      </c>
      <c r="G73" s="16">
        <v>3.0</v>
      </c>
      <c r="H73" s="16"/>
      <c r="I73" s="16">
        <v>6.71</v>
      </c>
      <c r="J73" s="8">
        <f t="shared" ref="J73:J74" si="30">H73-I73</f>
        <v>-6.71</v>
      </c>
      <c r="K73" s="8">
        <f>-3*4.487*100</f>
        <v>-1346.1</v>
      </c>
      <c r="L73" s="111">
        <f t="shared" si="29"/>
        <v>-1352.81</v>
      </c>
      <c r="M73" s="44" t="s">
        <v>174</v>
      </c>
      <c r="N73" s="107"/>
      <c r="O73" s="107"/>
      <c r="Q73" s="102"/>
      <c r="S73" s="102"/>
      <c r="T73" s="16"/>
    </row>
    <row r="74">
      <c r="A74" s="15">
        <v>44866.0</v>
      </c>
      <c r="B74" s="97" t="s">
        <v>58</v>
      </c>
      <c r="C74" s="97" t="s">
        <v>127</v>
      </c>
      <c r="D74" s="97" t="s">
        <v>113</v>
      </c>
      <c r="E74" s="97" t="s">
        <v>155</v>
      </c>
      <c r="F74" s="98" t="s">
        <v>175</v>
      </c>
      <c r="G74" s="16">
        <v>10.0</v>
      </c>
      <c r="H74" s="16">
        <v>360.0</v>
      </c>
      <c r="I74" s="16">
        <v>1.2</v>
      </c>
      <c r="J74" s="8">
        <f t="shared" si="30"/>
        <v>358.8</v>
      </c>
      <c r="L74" s="100">
        <f t="shared" si="29"/>
        <v>358.8</v>
      </c>
      <c r="M74" s="16" t="s">
        <v>154</v>
      </c>
      <c r="N74" s="102">
        <v>0.97</v>
      </c>
      <c r="O74" s="102">
        <v>0.94</v>
      </c>
      <c r="P74" s="107">
        <v>0.2574</v>
      </c>
      <c r="Q74" s="102">
        <v>0.78</v>
      </c>
      <c r="S74" s="102">
        <v>0.81</v>
      </c>
      <c r="T74" s="48">
        <f>2500-J74</f>
        <v>2141.2</v>
      </c>
      <c r="U74" s="61">
        <f>J74/T74</f>
        <v>0.1675695871</v>
      </c>
    </row>
    <row r="75">
      <c r="A75" s="20">
        <v>44869.0</v>
      </c>
      <c r="B75" s="97" t="s">
        <v>58</v>
      </c>
      <c r="C75" s="97" t="s">
        <v>167</v>
      </c>
      <c r="D75" s="97" t="s">
        <v>135</v>
      </c>
      <c r="E75" s="97" t="s">
        <v>155</v>
      </c>
      <c r="F75" s="98" t="s">
        <v>176</v>
      </c>
      <c r="G75" s="16">
        <v>3.0</v>
      </c>
      <c r="I75" s="16">
        <v>6.69</v>
      </c>
      <c r="J75" s="16">
        <v>808.2</v>
      </c>
      <c r="K75" s="16">
        <v>-838.0</v>
      </c>
      <c r="L75" s="111">
        <f t="shared" si="29"/>
        <v>-29.8</v>
      </c>
      <c r="M75" s="44" t="s">
        <v>177</v>
      </c>
      <c r="N75" s="107">
        <v>1.029</v>
      </c>
      <c r="O75" s="107">
        <v>0.929</v>
      </c>
      <c r="Q75" s="98" t="s">
        <v>125</v>
      </c>
      <c r="S75" s="102">
        <v>0.47</v>
      </c>
      <c r="T75" s="16">
        <v>886.0</v>
      </c>
    </row>
    <row r="76">
      <c r="A76" s="20"/>
      <c r="B76" s="97"/>
      <c r="C76" s="97"/>
      <c r="D76" s="97"/>
      <c r="E76" s="97"/>
      <c r="F76" s="98"/>
      <c r="G76" s="16"/>
      <c r="H76" s="16"/>
      <c r="I76" s="16"/>
      <c r="K76" s="16"/>
      <c r="L76" s="8"/>
      <c r="M76" s="16"/>
      <c r="N76" s="102"/>
      <c r="O76" s="102"/>
      <c r="P76" s="107"/>
      <c r="Q76" s="102"/>
      <c r="S76" s="102"/>
      <c r="T76" s="16"/>
      <c r="U76" s="61"/>
    </row>
    <row r="77">
      <c r="A77" s="20">
        <v>44883.0</v>
      </c>
      <c r="B77" s="97" t="s">
        <v>54</v>
      </c>
      <c r="C77" s="97" t="s">
        <v>160</v>
      </c>
      <c r="D77" s="97" t="s">
        <v>113</v>
      </c>
      <c r="E77" s="97" t="s">
        <v>149</v>
      </c>
      <c r="F77" s="98" t="s">
        <v>178</v>
      </c>
      <c r="G77" s="16">
        <v>10.0</v>
      </c>
      <c r="H77" s="16">
        <v>350.0</v>
      </c>
      <c r="I77" s="16">
        <v>23.61</v>
      </c>
      <c r="J77" s="8">
        <f t="shared" ref="J77:J78" si="31">H77-I77</f>
        <v>326.39</v>
      </c>
      <c r="K77" s="16">
        <v>-57.29</v>
      </c>
      <c r="L77" s="8">
        <f t="shared" ref="L77:L87" si="32">sum(J77:K77)</f>
        <v>269.1</v>
      </c>
      <c r="M77" s="16" t="s">
        <v>179</v>
      </c>
      <c r="N77" s="102">
        <v>0.33</v>
      </c>
      <c r="O77" s="102">
        <v>0.459</v>
      </c>
      <c r="P77" s="107">
        <v>0.2335</v>
      </c>
      <c r="Q77" s="102">
        <v>0.8</v>
      </c>
      <c r="S77" s="102">
        <v>0.81</v>
      </c>
      <c r="T77" s="16">
        <f>2500-J77</f>
        <v>2173.61</v>
      </c>
      <c r="U77" s="61">
        <f>J77/T77</f>
        <v>0.1501603324</v>
      </c>
    </row>
    <row r="78">
      <c r="A78" s="20">
        <v>44869.0</v>
      </c>
      <c r="B78" s="97" t="s">
        <v>5</v>
      </c>
      <c r="C78" s="97" t="s">
        <v>180</v>
      </c>
      <c r="D78" s="97" t="s">
        <v>113</v>
      </c>
      <c r="E78" s="97" t="s">
        <v>149</v>
      </c>
      <c r="F78" s="98" t="s">
        <v>181</v>
      </c>
      <c r="G78" s="16">
        <v>10.0</v>
      </c>
      <c r="H78" s="16">
        <v>2140.0</v>
      </c>
      <c r="I78" s="16">
        <v>20.36</v>
      </c>
      <c r="J78" s="8">
        <f t="shared" si="31"/>
        <v>2119.64</v>
      </c>
      <c r="L78" s="8">
        <f t="shared" si="32"/>
        <v>2119.64</v>
      </c>
      <c r="N78" s="107">
        <v>0.253</v>
      </c>
      <c r="O78" s="107">
        <v>0.264</v>
      </c>
      <c r="Q78" s="106">
        <v>0.45</v>
      </c>
      <c r="R78" s="45"/>
      <c r="S78" s="106">
        <v>0.53</v>
      </c>
      <c r="T78" s="16">
        <v>2991.0</v>
      </c>
    </row>
    <row r="79">
      <c r="A79" s="20">
        <v>44883.0</v>
      </c>
      <c r="B79" s="97" t="s">
        <v>5</v>
      </c>
      <c r="E79" s="97"/>
      <c r="K79" s="16">
        <v>-449.38</v>
      </c>
      <c r="L79" s="111">
        <f t="shared" si="32"/>
        <v>-449.38</v>
      </c>
      <c r="M79" s="44" t="s">
        <v>182</v>
      </c>
      <c r="O79" s="61"/>
    </row>
    <row r="80">
      <c r="A80" s="20">
        <v>44894.0</v>
      </c>
      <c r="B80" s="97" t="s">
        <v>5</v>
      </c>
      <c r="C80" s="97" t="s">
        <v>127</v>
      </c>
      <c r="D80" s="97" t="s">
        <v>113</v>
      </c>
      <c r="E80" s="97" t="s">
        <v>149</v>
      </c>
      <c r="F80" s="98" t="s">
        <v>183</v>
      </c>
      <c r="G80" s="16">
        <v>10.0</v>
      </c>
      <c r="H80" s="16">
        <v>234.0</v>
      </c>
      <c r="I80" s="16">
        <v>10.14</v>
      </c>
      <c r="J80" s="8">
        <f>H80-I80</f>
        <v>223.86</v>
      </c>
      <c r="K80" s="16"/>
      <c r="L80" s="8">
        <f t="shared" si="32"/>
        <v>223.86</v>
      </c>
      <c r="M80" s="16" t="s">
        <v>184</v>
      </c>
      <c r="N80" s="107">
        <v>0.217</v>
      </c>
      <c r="O80" s="102">
        <v>0.24</v>
      </c>
      <c r="P80" s="102">
        <v>0.22</v>
      </c>
      <c r="Q80" s="102">
        <v>0.92</v>
      </c>
      <c r="S80" s="102">
        <v>0.92</v>
      </c>
      <c r="T80" s="16">
        <v>4800.0</v>
      </c>
      <c r="U80" s="61">
        <f>J80/T80</f>
        <v>0.0466375</v>
      </c>
    </row>
    <row r="81">
      <c r="A81" s="20">
        <v>44887.0</v>
      </c>
      <c r="B81" s="97" t="s">
        <v>5</v>
      </c>
      <c r="C81" s="97" t="s">
        <v>167</v>
      </c>
      <c r="D81" s="97" t="s">
        <v>135</v>
      </c>
      <c r="E81" s="97" t="s">
        <v>149</v>
      </c>
      <c r="K81" s="16">
        <v>-1081.98</v>
      </c>
      <c r="L81" s="111">
        <f t="shared" si="32"/>
        <v>-1081.98</v>
      </c>
      <c r="M81" s="16" t="s">
        <v>185</v>
      </c>
      <c r="O81" s="61"/>
    </row>
    <row r="82">
      <c r="A82" s="20">
        <v>44896.0</v>
      </c>
      <c r="B82" s="97" t="s">
        <v>5</v>
      </c>
      <c r="C82" s="97" t="s">
        <v>167</v>
      </c>
      <c r="D82" s="97" t="s">
        <v>135</v>
      </c>
      <c r="E82" s="97" t="s">
        <v>149</v>
      </c>
      <c r="F82" s="98"/>
      <c r="G82" s="16"/>
      <c r="H82" s="16"/>
      <c r="J82" s="16">
        <v>143.09</v>
      </c>
      <c r="K82" s="16">
        <v>-1213.92</v>
      </c>
      <c r="L82" s="111">
        <f t="shared" si="32"/>
        <v>-1070.83</v>
      </c>
      <c r="M82" s="16" t="s">
        <v>186</v>
      </c>
      <c r="O82" s="61"/>
    </row>
    <row r="83">
      <c r="A83" s="20">
        <v>44895.0</v>
      </c>
      <c r="B83" s="97" t="s">
        <v>5</v>
      </c>
      <c r="C83" s="97" t="s">
        <v>112</v>
      </c>
      <c r="D83" s="97" t="s">
        <v>135</v>
      </c>
      <c r="E83" s="97" t="s">
        <v>187</v>
      </c>
      <c r="F83" s="98">
        <v>195.0</v>
      </c>
      <c r="G83" s="16">
        <v>3.0</v>
      </c>
      <c r="H83" s="16">
        <f>235*G83</f>
        <v>705</v>
      </c>
      <c r="I83" s="16">
        <f>4.61+0.49</f>
        <v>5.1</v>
      </c>
      <c r="J83" s="8">
        <f t="shared" ref="J83:J85" si="33">H83-I83</f>
        <v>699.9</v>
      </c>
      <c r="K83" s="16">
        <v>-3417.0</v>
      </c>
      <c r="L83" s="111">
        <f t="shared" si="32"/>
        <v>-2717.1</v>
      </c>
      <c r="M83" s="44" t="s">
        <v>188</v>
      </c>
      <c r="O83" s="61"/>
    </row>
    <row r="84">
      <c r="A84" s="20">
        <v>44883.0</v>
      </c>
      <c r="B84" s="97" t="s">
        <v>0</v>
      </c>
      <c r="C84" s="97" t="s">
        <v>112</v>
      </c>
      <c r="D84" s="97" t="s">
        <v>113</v>
      </c>
      <c r="E84" s="97" t="s">
        <v>149</v>
      </c>
      <c r="F84" s="98">
        <v>26.0</v>
      </c>
      <c r="G84" s="16">
        <v>1.0</v>
      </c>
      <c r="H84" s="16">
        <v>34.0</v>
      </c>
      <c r="I84" s="16">
        <v>0.24</v>
      </c>
      <c r="J84" s="8">
        <f t="shared" si="33"/>
        <v>33.76</v>
      </c>
      <c r="L84" s="8">
        <f t="shared" si="32"/>
        <v>33.76</v>
      </c>
      <c r="M84" s="16" t="s">
        <v>154</v>
      </c>
      <c r="O84" s="61"/>
    </row>
    <row r="85">
      <c r="A85" s="20">
        <v>44883.0</v>
      </c>
      <c r="B85" s="97" t="s">
        <v>59</v>
      </c>
      <c r="C85" s="97" t="s">
        <v>160</v>
      </c>
      <c r="D85" s="97" t="s">
        <v>113</v>
      </c>
      <c r="E85" s="97" t="s">
        <v>149</v>
      </c>
      <c r="F85" s="98" t="s">
        <v>189</v>
      </c>
      <c r="G85" s="16">
        <v>10.0</v>
      </c>
      <c r="H85" s="16">
        <v>840.0</v>
      </c>
      <c r="I85" s="16">
        <v>5.1</v>
      </c>
      <c r="J85" s="8">
        <f t="shared" si="33"/>
        <v>834.9</v>
      </c>
      <c r="L85" s="8">
        <f t="shared" si="32"/>
        <v>834.9</v>
      </c>
      <c r="M85" s="16" t="s">
        <v>154</v>
      </c>
      <c r="N85" s="107">
        <v>0.628</v>
      </c>
      <c r="O85" s="102">
        <v>0.752</v>
      </c>
      <c r="P85" s="107">
        <v>0.2335</v>
      </c>
      <c r="Q85" s="102">
        <v>0.76</v>
      </c>
      <c r="S85" s="102">
        <v>0.78</v>
      </c>
      <c r="T85" s="16">
        <f>5000-J85</f>
        <v>4165.1</v>
      </c>
      <c r="U85" s="61">
        <f t="shared" ref="U85:U86" si="34">J85/T85</f>
        <v>0.2004513697</v>
      </c>
    </row>
    <row r="86">
      <c r="A86" s="20">
        <v>44887.0</v>
      </c>
      <c r="B86" s="97" t="s">
        <v>58</v>
      </c>
      <c r="C86" s="97" t="s">
        <v>163</v>
      </c>
      <c r="D86" s="97" t="s">
        <v>113</v>
      </c>
      <c r="E86" s="97" t="s">
        <v>149</v>
      </c>
      <c r="F86" s="98" t="s">
        <v>166</v>
      </c>
      <c r="G86" s="16">
        <v>10.0</v>
      </c>
      <c r="H86" s="16">
        <v>584.0</v>
      </c>
      <c r="I86" s="16">
        <v>9.43</v>
      </c>
      <c r="J86" s="8">
        <f>H86-I86+600</f>
        <v>1174.57</v>
      </c>
      <c r="L86" s="8">
        <f t="shared" si="32"/>
        <v>1174.57</v>
      </c>
      <c r="M86" s="67" t="s">
        <v>190</v>
      </c>
      <c r="N86" s="102">
        <v>1.12</v>
      </c>
      <c r="O86" s="102">
        <v>0.98</v>
      </c>
      <c r="P86" s="107">
        <v>0.2142</v>
      </c>
      <c r="Q86" s="102">
        <v>0.69</v>
      </c>
      <c r="S86" s="102">
        <v>0.74</v>
      </c>
      <c r="T86" s="16">
        <v>1949.0</v>
      </c>
      <c r="U86" s="61">
        <f t="shared" si="34"/>
        <v>0.6026526424</v>
      </c>
    </row>
    <row r="87">
      <c r="A87" s="20">
        <v>44888.0</v>
      </c>
      <c r="B87" s="97" t="s">
        <v>58</v>
      </c>
      <c r="C87" s="97" t="s">
        <v>112</v>
      </c>
      <c r="D87" s="97" t="s">
        <v>191</v>
      </c>
      <c r="E87" s="97" t="s">
        <v>149</v>
      </c>
      <c r="F87" s="16">
        <v>25.0</v>
      </c>
      <c r="G87" s="16">
        <v>4.0</v>
      </c>
      <c r="H87" s="16">
        <v>196.0</v>
      </c>
      <c r="I87" s="16">
        <v>0.43</v>
      </c>
      <c r="J87" s="8">
        <f>H87-I87</f>
        <v>195.57</v>
      </c>
      <c r="L87" s="8">
        <f t="shared" si="32"/>
        <v>195.57</v>
      </c>
      <c r="M87" s="16" t="s">
        <v>154</v>
      </c>
      <c r="N87" s="102">
        <v>1.13</v>
      </c>
      <c r="O87" s="102">
        <v>0.98</v>
      </c>
      <c r="P87" s="107">
        <v>0.212</v>
      </c>
      <c r="Q87" s="102">
        <v>0.84</v>
      </c>
      <c r="S87" s="102">
        <v>0.85</v>
      </c>
    </row>
    <row r="88">
      <c r="B88" s="103"/>
      <c r="C88" s="103"/>
      <c r="D88" s="103"/>
      <c r="E88" s="103"/>
      <c r="O88" s="61"/>
    </row>
    <row r="89">
      <c r="B89" s="103"/>
      <c r="C89" s="103"/>
      <c r="D89" s="103"/>
      <c r="E89" s="103"/>
      <c r="O89" s="61"/>
    </row>
    <row r="90">
      <c r="B90" s="103"/>
      <c r="C90" s="103"/>
      <c r="D90" s="103"/>
      <c r="E90" s="103"/>
      <c r="O90" s="61"/>
    </row>
    <row r="91">
      <c r="A91" s="97"/>
      <c r="B91" s="97"/>
      <c r="D91" s="103"/>
      <c r="E91" s="103"/>
    </row>
    <row r="92">
      <c r="A92" s="97"/>
      <c r="C92" s="97"/>
      <c r="D92" s="97"/>
      <c r="E92" s="103"/>
      <c r="F92" s="98"/>
    </row>
    <row r="93">
      <c r="B93" s="97"/>
      <c r="C93" s="97"/>
      <c r="D93" s="97"/>
      <c r="E93" s="98"/>
    </row>
    <row r="94">
      <c r="B94" s="97"/>
      <c r="C94" s="97"/>
      <c r="D94" s="97"/>
      <c r="E94" s="98"/>
    </row>
    <row r="95">
      <c r="B95" s="97"/>
      <c r="C95" s="97"/>
      <c r="D95" s="97"/>
      <c r="E95" s="98"/>
    </row>
    <row r="96">
      <c r="B96" s="97"/>
      <c r="C96" s="97"/>
      <c r="D96" s="97"/>
      <c r="E96" s="98"/>
    </row>
    <row r="97">
      <c r="B97" s="103"/>
      <c r="C97" s="97"/>
      <c r="D97" s="97"/>
      <c r="E97" s="97"/>
    </row>
    <row r="98">
      <c r="B98" s="103"/>
      <c r="C98" s="103"/>
      <c r="D98" s="103"/>
      <c r="E98" s="103"/>
    </row>
    <row r="99">
      <c r="B99" s="103"/>
      <c r="C99" s="103"/>
      <c r="D99" s="103"/>
      <c r="E99" s="103"/>
    </row>
    <row r="100">
      <c r="B100" s="103"/>
      <c r="C100" s="103"/>
      <c r="D100" s="103"/>
      <c r="E100" s="103"/>
    </row>
    <row r="101">
      <c r="B101" s="103"/>
      <c r="C101" s="103"/>
      <c r="D101" s="103"/>
      <c r="E101" s="103"/>
    </row>
    <row r="102">
      <c r="B102" s="97"/>
      <c r="C102" s="103"/>
      <c r="D102" s="103"/>
      <c r="E102" s="103"/>
    </row>
    <row r="103">
      <c r="B103" s="97"/>
      <c r="C103" s="103"/>
      <c r="D103" s="103"/>
      <c r="E103" s="103"/>
    </row>
    <row r="104">
      <c r="B104" s="103"/>
      <c r="C104" s="103"/>
      <c r="D104" s="103"/>
      <c r="E104" s="103"/>
    </row>
    <row r="105">
      <c r="B105" s="103"/>
      <c r="C105" s="103"/>
      <c r="D105" s="103"/>
      <c r="E105" s="103"/>
    </row>
    <row r="106">
      <c r="B106" s="103"/>
      <c r="C106" s="103"/>
      <c r="D106" s="103"/>
      <c r="E106" s="103"/>
    </row>
    <row r="107">
      <c r="B107" s="103"/>
      <c r="C107" s="103"/>
      <c r="D107" s="103"/>
      <c r="E107" s="103"/>
    </row>
    <row r="108">
      <c r="B108" s="103"/>
      <c r="C108" s="103"/>
      <c r="D108" s="103"/>
      <c r="E108" s="103"/>
    </row>
    <row r="109">
      <c r="B109" s="103"/>
      <c r="C109" s="103"/>
      <c r="D109" s="103"/>
      <c r="E109" s="103"/>
    </row>
    <row r="110">
      <c r="B110" s="103"/>
      <c r="C110" s="103"/>
      <c r="D110" s="103"/>
      <c r="E110" s="103"/>
    </row>
    <row r="111">
      <c r="B111" s="103"/>
      <c r="C111" s="103"/>
      <c r="D111" s="103"/>
      <c r="E111" s="103"/>
    </row>
    <row r="112">
      <c r="B112" s="103"/>
      <c r="C112" s="103"/>
      <c r="D112" s="103"/>
      <c r="E112" s="103"/>
    </row>
    <row r="113">
      <c r="B113" s="103"/>
      <c r="C113" s="103"/>
      <c r="D113" s="103"/>
      <c r="E113" s="103"/>
    </row>
    <row r="114">
      <c r="B114" s="103"/>
      <c r="C114" s="103"/>
      <c r="D114" s="103"/>
      <c r="E114" s="103"/>
    </row>
    <row r="115">
      <c r="B115" s="103"/>
      <c r="C115" s="103"/>
      <c r="D115" s="103"/>
      <c r="E115" s="103"/>
    </row>
    <row r="116">
      <c r="B116" s="103"/>
      <c r="C116" s="103"/>
      <c r="D116" s="103"/>
      <c r="E116" s="103"/>
    </row>
    <row r="117">
      <c r="B117" s="103"/>
      <c r="C117" s="103"/>
      <c r="D117" s="103"/>
      <c r="E117" s="103"/>
    </row>
    <row r="118">
      <c r="B118" s="103"/>
      <c r="C118" s="103"/>
      <c r="D118" s="103"/>
      <c r="E118" s="103"/>
    </row>
    <row r="119">
      <c r="B119" s="103"/>
      <c r="C119" s="103"/>
      <c r="D119" s="103"/>
      <c r="E119" s="103"/>
    </row>
    <row r="120">
      <c r="B120" s="103"/>
      <c r="C120" s="103"/>
      <c r="D120" s="103"/>
      <c r="E120" s="103"/>
    </row>
    <row r="121">
      <c r="B121" s="103"/>
      <c r="C121" s="103"/>
      <c r="D121" s="103"/>
      <c r="E121" s="103"/>
    </row>
    <row r="122">
      <c r="B122" s="103"/>
      <c r="C122" s="103"/>
      <c r="D122" s="103"/>
      <c r="E122" s="103"/>
    </row>
    <row r="123">
      <c r="B123" s="103"/>
      <c r="C123" s="103"/>
      <c r="D123" s="103"/>
      <c r="E123" s="103"/>
    </row>
    <row r="124">
      <c r="B124" s="103"/>
      <c r="C124" s="103"/>
      <c r="D124" s="103"/>
      <c r="E124" s="103"/>
    </row>
    <row r="125">
      <c r="B125" s="103"/>
      <c r="C125" s="103"/>
      <c r="D125" s="103"/>
      <c r="E125" s="103"/>
    </row>
    <row r="126">
      <c r="B126" s="103"/>
      <c r="C126" s="103"/>
      <c r="D126" s="103"/>
      <c r="E126" s="103"/>
    </row>
    <row r="127">
      <c r="B127" s="103"/>
      <c r="C127" s="103"/>
      <c r="D127" s="103"/>
      <c r="E127" s="103"/>
    </row>
    <row r="128">
      <c r="B128" s="103"/>
      <c r="C128" s="103"/>
      <c r="D128" s="103"/>
      <c r="E128" s="103"/>
    </row>
    <row r="129">
      <c r="B129" s="103"/>
      <c r="C129" s="103"/>
      <c r="D129" s="103"/>
      <c r="E129" s="103"/>
    </row>
    <row r="130">
      <c r="B130" s="103"/>
      <c r="C130" s="103"/>
      <c r="D130" s="103"/>
      <c r="E130" s="103"/>
    </row>
    <row r="131">
      <c r="B131" s="103"/>
      <c r="C131" s="103"/>
      <c r="D131" s="103"/>
      <c r="E131" s="103"/>
    </row>
    <row r="132">
      <c r="B132" s="103"/>
      <c r="C132" s="103"/>
      <c r="D132" s="103"/>
      <c r="E132" s="103"/>
    </row>
    <row r="133">
      <c r="B133" s="103"/>
      <c r="C133" s="103"/>
      <c r="D133" s="103"/>
      <c r="E133" s="103"/>
    </row>
    <row r="134">
      <c r="B134" s="103"/>
      <c r="C134" s="103"/>
      <c r="D134" s="103"/>
      <c r="E134" s="103"/>
    </row>
    <row r="135">
      <c r="B135" s="103"/>
      <c r="C135" s="103"/>
      <c r="D135" s="103"/>
      <c r="E135" s="103"/>
    </row>
    <row r="136">
      <c r="B136" s="103"/>
      <c r="C136" s="103"/>
      <c r="D136" s="103"/>
      <c r="E136" s="103"/>
    </row>
    <row r="137">
      <c r="B137" s="103"/>
      <c r="C137" s="103"/>
      <c r="D137" s="103"/>
      <c r="E137" s="103"/>
    </row>
    <row r="138">
      <c r="B138" s="103"/>
      <c r="C138" s="103"/>
      <c r="D138" s="103"/>
      <c r="E138" s="103"/>
    </row>
    <row r="139">
      <c r="B139" s="103"/>
      <c r="C139" s="103"/>
      <c r="D139" s="103"/>
      <c r="E139" s="103"/>
    </row>
    <row r="140">
      <c r="B140" s="103"/>
      <c r="C140" s="103"/>
      <c r="D140" s="103"/>
      <c r="E140" s="103"/>
    </row>
    <row r="141">
      <c r="B141" s="103"/>
      <c r="C141" s="103"/>
      <c r="D141" s="103"/>
      <c r="E141" s="103"/>
    </row>
    <row r="142">
      <c r="B142" s="103"/>
      <c r="C142" s="103"/>
      <c r="D142" s="103"/>
      <c r="E142" s="103"/>
    </row>
    <row r="143">
      <c r="B143" s="103"/>
      <c r="C143" s="103"/>
      <c r="D143" s="103"/>
      <c r="E143" s="103"/>
    </row>
    <row r="144">
      <c r="B144" s="103"/>
      <c r="C144" s="103"/>
      <c r="D144" s="103"/>
      <c r="E144" s="103"/>
    </row>
    <row r="145">
      <c r="B145" s="103"/>
      <c r="C145" s="103"/>
      <c r="D145" s="103"/>
      <c r="E145" s="103"/>
    </row>
    <row r="146">
      <c r="B146" s="103"/>
      <c r="C146" s="103"/>
      <c r="D146" s="103"/>
      <c r="E146" s="103"/>
    </row>
    <row r="147">
      <c r="B147" s="103"/>
      <c r="C147" s="103"/>
      <c r="D147" s="103"/>
      <c r="E147" s="103"/>
    </row>
    <row r="148">
      <c r="B148" s="103"/>
      <c r="C148" s="103"/>
      <c r="D148" s="103"/>
      <c r="E148" s="103"/>
    </row>
    <row r="149">
      <c r="B149" s="103"/>
      <c r="C149" s="103"/>
      <c r="D149" s="103"/>
      <c r="E149" s="103"/>
    </row>
    <row r="150">
      <c r="B150" s="103"/>
      <c r="C150" s="103"/>
      <c r="D150" s="103"/>
      <c r="E150" s="103"/>
    </row>
    <row r="151">
      <c r="B151" s="103"/>
      <c r="C151" s="103"/>
      <c r="D151" s="103"/>
      <c r="E151" s="103"/>
    </row>
    <row r="152">
      <c r="B152" s="103"/>
      <c r="C152" s="103"/>
      <c r="D152" s="103"/>
      <c r="E152" s="103"/>
    </row>
    <row r="153">
      <c r="B153" s="103"/>
      <c r="C153" s="103"/>
      <c r="D153" s="103"/>
      <c r="E153" s="103"/>
    </row>
    <row r="154">
      <c r="B154" s="103"/>
      <c r="C154" s="103"/>
      <c r="D154" s="103"/>
      <c r="E154" s="103"/>
    </row>
    <row r="155">
      <c r="B155" s="103"/>
      <c r="C155" s="103"/>
      <c r="D155" s="103"/>
      <c r="E155" s="103"/>
    </row>
    <row r="156">
      <c r="B156" s="103"/>
      <c r="C156" s="103"/>
      <c r="D156" s="103"/>
      <c r="E156" s="103"/>
    </row>
    <row r="157">
      <c r="B157" s="103"/>
      <c r="C157" s="103"/>
      <c r="D157" s="103"/>
      <c r="E157" s="103"/>
    </row>
    <row r="158">
      <c r="B158" s="103"/>
      <c r="C158" s="103"/>
      <c r="D158" s="103"/>
      <c r="E158" s="103"/>
    </row>
    <row r="159">
      <c r="B159" s="103"/>
      <c r="C159" s="103"/>
      <c r="D159" s="103"/>
      <c r="E159" s="103"/>
    </row>
    <row r="160">
      <c r="B160" s="103"/>
      <c r="C160" s="103"/>
      <c r="D160" s="103"/>
      <c r="E160" s="103"/>
    </row>
    <row r="161">
      <c r="B161" s="103"/>
      <c r="C161" s="103"/>
      <c r="D161" s="103"/>
      <c r="E161" s="103"/>
    </row>
    <row r="162">
      <c r="B162" s="103"/>
      <c r="C162" s="103"/>
      <c r="D162" s="103"/>
      <c r="E162" s="103"/>
    </row>
    <row r="163">
      <c r="B163" s="103"/>
      <c r="C163" s="103"/>
      <c r="D163" s="103"/>
      <c r="E163" s="103"/>
    </row>
    <row r="164">
      <c r="B164" s="103"/>
      <c r="C164" s="103"/>
      <c r="D164" s="103"/>
      <c r="E164" s="103"/>
    </row>
    <row r="165">
      <c r="B165" s="103"/>
      <c r="C165" s="103"/>
      <c r="D165" s="103"/>
      <c r="E165" s="103"/>
    </row>
    <row r="166">
      <c r="B166" s="103"/>
      <c r="C166" s="103"/>
      <c r="D166" s="103"/>
      <c r="E166" s="103"/>
    </row>
    <row r="167">
      <c r="B167" s="103"/>
      <c r="C167" s="103"/>
      <c r="D167" s="103"/>
      <c r="E167" s="103"/>
    </row>
    <row r="168">
      <c r="B168" s="103"/>
      <c r="C168" s="103"/>
      <c r="D168" s="103"/>
      <c r="E168" s="103"/>
    </row>
    <row r="169">
      <c r="B169" s="103"/>
      <c r="C169" s="103"/>
      <c r="D169" s="103"/>
      <c r="E169" s="103"/>
    </row>
    <row r="170">
      <c r="B170" s="103"/>
      <c r="C170" s="103"/>
      <c r="D170" s="103"/>
      <c r="E170" s="103"/>
    </row>
    <row r="171">
      <c r="B171" s="103"/>
      <c r="C171" s="103"/>
      <c r="D171" s="103"/>
      <c r="E171" s="103"/>
    </row>
    <row r="172">
      <c r="B172" s="103"/>
      <c r="C172" s="103"/>
      <c r="D172" s="103"/>
      <c r="E172" s="103"/>
    </row>
    <row r="173">
      <c r="B173" s="103"/>
      <c r="C173" s="103"/>
      <c r="D173" s="103"/>
      <c r="E173" s="103"/>
    </row>
    <row r="174">
      <c r="B174" s="103"/>
      <c r="C174" s="103"/>
      <c r="D174" s="103"/>
      <c r="E174" s="103"/>
    </row>
    <row r="175">
      <c r="B175" s="103"/>
      <c r="C175" s="103"/>
      <c r="D175" s="103"/>
      <c r="E175" s="103"/>
    </row>
    <row r="176">
      <c r="B176" s="103"/>
      <c r="C176" s="103"/>
      <c r="D176" s="103"/>
      <c r="E176" s="103"/>
    </row>
    <row r="177">
      <c r="B177" s="103"/>
      <c r="C177" s="103"/>
      <c r="D177" s="103"/>
      <c r="E177" s="103"/>
    </row>
    <row r="178">
      <c r="B178" s="103"/>
      <c r="C178" s="103"/>
      <c r="D178" s="103"/>
      <c r="E178" s="103"/>
    </row>
    <row r="179">
      <c r="B179" s="103"/>
      <c r="C179" s="103"/>
      <c r="D179" s="103"/>
      <c r="E179" s="103"/>
    </row>
    <row r="180">
      <c r="B180" s="103"/>
      <c r="C180" s="103"/>
      <c r="D180" s="103"/>
      <c r="E180" s="103"/>
    </row>
    <row r="181">
      <c r="B181" s="103"/>
      <c r="C181" s="103"/>
      <c r="D181" s="103"/>
      <c r="E181" s="103"/>
    </row>
    <row r="182">
      <c r="B182" s="103"/>
      <c r="C182" s="103"/>
      <c r="D182" s="103"/>
      <c r="E182" s="103"/>
    </row>
    <row r="183">
      <c r="B183" s="103"/>
      <c r="C183" s="103"/>
      <c r="D183" s="103"/>
      <c r="E183" s="103"/>
    </row>
    <row r="184">
      <c r="B184" s="103"/>
      <c r="C184" s="103"/>
      <c r="D184" s="103"/>
      <c r="E184" s="103"/>
    </row>
    <row r="185">
      <c r="B185" s="103"/>
      <c r="C185" s="103"/>
      <c r="D185" s="103"/>
      <c r="E185" s="103"/>
    </row>
    <row r="186">
      <c r="B186" s="103"/>
      <c r="C186" s="103"/>
      <c r="D186" s="103"/>
      <c r="E186" s="103"/>
    </row>
    <row r="187">
      <c r="B187" s="103"/>
      <c r="C187" s="103"/>
      <c r="D187" s="103"/>
      <c r="E187" s="103"/>
    </row>
    <row r="188">
      <c r="B188" s="103"/>
      <c r="C188" s="103"/>
      <c r="D188" s="103"/>
      <c r="E188" s="103"/>
    </row>
    <row r="189">
      <c r="B189" s="103"/>
      <c r="C189" s="103"/>
      <c r="D189" s="103"/>
      <c r="E189" s="103"/>
    </row>
    <row r="190">
      <c r="B190" s="103"/>
      <c r="C190" s="103"/>
      <c r="D190" s="103"/>
      <c r="E190" s="103"/>
    </row>
    <row r="191">
      <c r="B191" s="103"/>
      <c r="C191" s="103"/>
      <c r="D191" s="103"/>
      <c r="E191" s="103"/>
    </row>
    <row r="192">
      <c r="B192" s="103"/>
      <c r="C192" s="103"/>
      <c r="D192" s="103"/>
      <c r="E192" s="103"/>
    </row>
    <row r="193">
      <c r="B193" s="103"/>
      <c r="C193" s="103"/>
      <c r="D193" s="103"/>
      <c r="E193" s="103"/>
    </row>
    <row r="194">
      <c r="B194" s="103"/>
      <c r="C194" s="103"/>
      <c r="D194" s="103"/>
      <c r="E194" s="103"/>
    </row>
    <row r="195">
      <c r="B195" s="103"/>
      <c r="C195" s="103"/>
      <c r="D195" s="103"/>
      <c r="E195" s="103"/>
    </row>
    <row r="196">
      <c r="B196" s="103"/>
      <c r="C196" s="103"/>
      <c r="D196" s="103"/>
      <c r="E196" s="103"/>
    </row>
    <row r="197">
      <c r="B197" s="103"/>
      <c r="C197" s="103"/>
      <c r="D197" s="103"/>
      <c r="E197" s="103"/>
    </row>
    <row r="198">
      <c r="B198" s="103"/>
      <c r="C198" s="103"/>
      <c r="D198" s="103"/>
      <c r="E198" s="103"/>
    </row>
    <row r="199">
      <c r="B199" s="103"/>
      <c r="C199" s="103"/>
      <c r="D199" s="103"/>
      <c r="E199" s="103"/>
    </row>
    <row r="200">
      <c r="B200" s="103"/>
      <c r="C200" s="103"/>
      <c r="D200" s="103"/>
      <c r="E200" s="103"/>
    </row>
    <row r="201">
      <c r="B201" s="103"/>
      <c r="C201" s="103"/>
      <c r="D201" s="103"/>
      <c r="E201" s="103"/>
    </row>
    <row r="202">
      <c r="B202" s="103"/>
      <c r="C202" s="103"/>
      <c r="D202" s="103"/>
      <c r="E202" s="103"/>
    </row>
    <row r="203">
      <c r="B203" s="103"/>
      <c r="C203" s="103"/>
      <c r="D203" s="103"/>
      <c r="E203" s="103"/>
    </row>
    <row r="204">
      <c r="B204" s="103"/>
      <c r="C204" s="103"/>
      <c r="D204" s="103"/>
      <c r="E204" s="103"/>
    </row>
    <row r="205">
      <c r="B205" s="103"/>
      <c r="C205" s="103"/>
      <c r="D205" s="103"/>
      <c r="E205" s="103"/>
    </row>
    <row r="206">
      <c r="B206" s="103"/>
      <c r="C206" s="103"/>
      <c r="D206" s="103"/>
      <c r="E206" s="103"/>
    </row>
    <row r="207">
      <c r="B207" s="103"/>
      <c r="C207" s="103"/>
      <c r="D207" s="103"/>
      <c r="E207" s="103"/>
    </row>
    <row r="208">
      <c r="B208" s="103"/>
      <c r="C208" s="103"/>
      <c r="D208" s="103"/>
      <c r="E208" s="103"/>
    </row>
    <row r="209">
      <c r="B209" s="103"/>
      <c r="C209" s="103"/>
      <c r="D209" s="103"/>
      <c r="E209" s="103"/>
    </row>
    <row r="210">
      <c r="B210" s="103"/>
      <c r="C210" s="103"/>
      <c r="D210" s="103"/>
      <c r="E210" s="103"/>
    </row>
    <row r="211">
      <c r="B211" s="103"/>
      <c r="C211" s="103"/>
      <c r="D211" s="103"/>
      <c r="E211" s="103"/>
    </row>
    <row r="212">
      <c r="B212" s="103"/>
      <c r="C212" s="103"/>
      <c r="D212" s="103"/>
      <c r="E212" s="103"/>
    </row>
    <row r="213">
      <c r="B213" s="103"/>
      <c r="C213" s="103"/>
      <c r="D213" s="103"/>
      <c r="E213" s="103"/>
    </row>
    <row r="214">
      <c r="B214" s="103"/>
      <c r="C214" s="103"/>
      <c r="D214" s="103"/>
      <c r="E214" s="103"/>
    </row>
    <row r="215">
      <c r="B215" s="103"/>
      <c r="C215" s="103"/>
      <c r="D215" s="103"/>
      <c r="E215" s="103"/>
    </row>
    <row r="216">
      <c r="B216" s="103"/>
      <c r="C216" s="103"/>
      <c r="D216" s="103"/>
      <c r="E216" s="103"/>
    </row>
    <row r="217">
      <c r="B217" s="103"/>
      <c r="C217" s="103"/>
      <c r="D217" s="103"/>
      <c r="E217" s="103"/>
    </row>
    <row r="218">
      <c r="B218" s="103"/>
      <c r="C218" s="103"/>
      <c r="D218" s="103"/>
      <c r="E218" s="103"/>
    </row>
    <row r="219">
      <c r="B219" s="103"/>
      <c r="C219" s="103"/>
      <c r="D219" s="103"/>
      <c r="E219" s="103"/>
    </row>
    <row r="220">
      <c r="B220" s="103"/>
      <c r="C220" s="103"/>
      <c r="D220" s="103"/>
      <c r="E220" s="103"/>
    </row>
    <row r="221">
      <c r="B221" s="103"/>
      <c r="C221" s="103"/>
      <c r="D221" s="103"/>
      <c r="E221" s="103"/>
    </row>
    <row r="222">
      <c r="B222" s="103"/>
      <c r="C222" s="103"/>
      <c r="D222" s="103"/>
      <c r="E222" s="103"/>
    </row>
    <row r="223">
      <c r="B223" s="103"/>
      <c r="C223" s="103"/>
      <c r="D223" s="103"/>
      <c r="E223" s="103"/>
    </row>
    <row r="224">
      <c r="B224" s="103"/>
      <c r="C224" s="103"/>
      <c r="D224" s="103"/>
      <c r="E224" s="103"/>
    </row>
    <row r="225">
      <c r="B225" s="103"/>
      <c r="C225" s="103"/>
      <c r="D225" s="103"/>
      <c r="E225" s="103"/>
    </row>
    <row r="226">
      <c r="B226" s="103"/>
      <c r="C226" s="103"/>
      <c r="D226" s="103"/>
      <c r="E226" s="103"/>
    </row>
    <row r="227">
      <c r="B227" s="103"/>
      <c r="C227" s="103"/>
      <c r="D227" s="103"/>
      <c r="E227" s="103"/>
    </row>
    <row r="228">
      <c r="B228" s="103"/>
      <c r="C228" s="103"/>
      <c r="D228" s="103"/>
      <c r="E228" s="103"/>
    </row>
    <row r="229">
      <c r="B229" s="103"/>
      <c r="C229" s="103"/>
      <c r="D229" s="103"/>
      <c r="E229" s="103"/>
    </row>
    <row r="230">
      <c r="B230" s="103"/>
      <c r="C230" s="103"/>
      <c r="D230" s="103"/>
      <c r="E230" s="103"/>
    </row>
    <row r="231">
      <c r="B231" s="103"/>
      <c r="C231" s="103"/>
      <c r="D231" s="103"/>
      <c r="E231" s="103"/>
    </row>
    <row r="232">
      <c r="B232" s="103"/>
      <c r="C232" s="103"/>
      <c r="D232" s="103"/>
      <c r="E232" s="103"/>
    </row>
    <row r="233">
      <c r="B233" s="103"/>
      <c r="C233" s="103"/>
      <c r="D233" s="103"/>
      <c r="E233" s="103"/>
    </row>
    <row r="234">
      <c r="B234" s="103"/>
      <c r="C234" s="103"/>
      <c r="D234" s="103"/>
      <c r="E234" s="103"/>
    </row>
    <row r="235">
      <c r="B235" s="103"/>
      <c r="C235" s="103"/>
      <c r="D235" s="103"/>
      <c r="E235" s="103"/>
    </row>
    <row r="236">
      <c r="B236" s="103"/>
      <c r="C236" s="103"/>
      <c r="D236" s="103"/>
      <c r="E236" s="103"/>
    </row>
    <row r="237">
      <c r="B237" s="103"/>
      <c r="C237" s="103"/>
      <c r="D237" s="103"/>
      <c r="E237" s="103"/>
    </row>
    <row r="238">
      <c r="B238" s="103"/>
      <c r="C238" s="103"/>
      <c r="D238" s="103"/>
      <c r="E238" s="103"/>
    </row>
    <row r="239">
      <c r="B239" s="103"/>
      <c r="C239" s="103"/>
      <c r="D239" s="103"/>
      <c r="E239" s="103"/>
    </row>
    <row r="240">
      <c r="B240" s="103"/>
      <c r="C240" s="103"/>
      <c r="D240" s="103"/>
      <c r="E240" s="103"/>
    </row>
    <row r="241">
      <c r="B241" s="103"/>
      <c r="C241" s="103"/>
      <c r="D241" s="103"/>
      <c r="E241" s="103"/>
    </row>
    <row r="242">
      <c r="B242" s="103"/>
      <c r="C242" s="103"/>
      <c r="D242" s="103"/>
      <c r="E242" s="103"/>
    </row>
    <row r="243">
      <c r="B243" s="103"/>
      <c r="C243" s="103"/>
      <c r="D243" s="103"/>
      <c r="E243" s="103"/>
    </row>
    <row r="244">
      <c r="B244" s="103"/>
      <c r="C244" s="103"/>
      <c r="D244" s="103"/>
      <c r="E244" s="103"/>
    </row>
    <row r="245">
      <c r="B245" s="103"/>
      <c r="C245" s="103"/>
      <c r="D245" s="103"/>
      <c r="E245" s="103"/>
    </row>
    <row r="246">
      <c r="B246" s="103"/>
      <c r="C246" s="103"/>
      <c r="D246" s="103"/>
      <c r="E246" s="103"/>
    </row>
    <row r="247">
      <c r="B247" s="103"/>
      <c r="C247" s="103"/>
      <c r="D247" s="103"/>
      <c r="E247" s="103"/>
    </row>
    <row r="248">
      <c r="B248" s="103"/>
      <c r="C248" s="103"/>
      <c r="D248" s="103"/>
      <c r="E248" s="103"/>
    </row>
    <row r="249">
      <c r="B249" s="103"/>
      <c r="C249" s="103"/>
      <c r="D249" s="103"/>
      <c r="E249" s="103"/>
    </row>
    <row r="250">
      <c r="B250" s="103"/>
      <c r="C250" s="103"/>
      <c r="D250" s="103"/>
      <c r="E250" s="103"/>
    </row>
    <row r="251">
      <c r="B251" s="103"/>
      <c r="C251" s="103"/>
      <c r="D251" s="103"/>
      <c r="E251" s="103"/>
    </row>
    <row r="252">
      <c r="B252" s="103"/>
      <c r="C252" s="103"/>
      <c r="D252" s="103"/>
      <c r="E252" s="103"/>
    </row>
    <row r="253">
      <c r="B253" s="103"/>
      <c r="C253" s="103"/>
      <c r="D253" s="103"/>
      <c r="E253" s="103"/>
    </row>
    <row r="254">
      <c r="B254" s="103"/>
      <c r="C254" s="103"/>
      <c r="D254" s="103"/>
      <c r="E254" s="103"/>
    </row>
    <row r="255">
      <c r="B255" s="103"/>
      <c r="C255" s="103"/>
      <c r="D255" s="103"/>
      <c r="E255" s="103"/>
    </row>
    <row r="256">
      <c r="B256" s="103"/>
      <c r="C256" s="103"/>
      <c r="D256" s="103"/>
      <c r="E256" s="103"/>
    </row>
    <row r="257">
      <c r="B257" s="103"/>
      <c r="C257" s="103"/>
      <c r="D257" s="103"/>
      <c r="E257" s="103"/>
    </row>
    <row r="258">
      <c r="B258" s="103"/>
      <c r="C258" s="103"/>
      <c r="D258" s="103"/>
      <c r="E258" s="103"/>
    </row>
    <row r="259">
      <c r="B259" s="103"/>
      <c r="C259" s="103"/>
      <c r="D259" s="103"/>
      <c r="E259" s="103"/>
    </row>
    <row r="260">
      <c r="B260" s="103"/>
      <c r="C260" s="103"/>
      <c r="D260" s="103"/>
      <c r="E260" s="103"/>
    </row>
    <row r="261">
      <c r="B261" s="103"/>
      <c r="C261" s="103"/>
      <c r="D261" s="103"/>
      <c r="E261" s="103"/>
    </row>
    <row r="262">
      <c r="B262" s="103"/>
      <c r="C262" s="103"/>
      <c r="D262" s="103"/>
      <c r="E262" s="103"/>
    </row>
    <row r="263">
      <c r="B263" s="103"/>
      <c r="C263" s="103"/>
      <c r="D263" s="103"/>
      <c r="E263" s="103"/>
    </row>
    <row r="264">
      <c r="B264" s="103"/>
      <c r="C264" s="103"/>
      <c r="D264" s="103"/>
      <c r="E264" s="103"/>
    </row>
    <row r="265">
      <c r="B265" s="103"/>
      <c r="C265" s="103"/>
      <c r="D265" s="103"/>
      <c r="E265" s="103"/>
    </row>
    <row r="266">
      <c r="B266" s="103"/>
      <c r="C266" s="103"/>
      <c r="D266" s="103"/>
      <c r="E266" s="103"/>
    </row>
    <row r="267">
      <c r="B267" s="103"/>
      <c r="C267" s="103"/>
      <c r="D267" s="103"/>
      <c r="E267" s="103"/>
    </row>
    <row r="268">
      <c r="B268" s="103"/>
      <c r="C268" s="103"/>
      <c r="D268" s="103"/>
      <c r="E268" s="103"/>
    </row>
    <row r="269">
      <c r="B269" s="103"/>
      <c r="C269" s="103"/>
      <c r="D269" s="103"/>
      <c r="E269" s="103"/>
    </row>
    <row r="270">
      <c r="B270" s="103"/>
      <c r="C270" s="103"/>
      <c r="D270" s="103"/>
      <c r="E270" s="103"/>
    </row>
    <row r="271">
      <c r="B271" s="103"/>
      <c r="C271" s="103"/>
      <c r="D271" s="103"/>
      <c r="E271" s="103"/>
    </row>
    <row r="272">
      <c r="B272" s="103"/>
      <c r="C272" s="103"/>
      <c r="D272" s="103"/>
      <c r="E272" s="103"/>
    </row>
    <row r="273">
      <c r="B273" s="103"/>
      <c r="C273" s="103"/>
      <c r="D273" s="103"/>
      <c r="E273" s="103"/>
    </row>
    <row r="274">
      <c r="B274" s="103"/>
      <c r="C274" s="103"/>
      <c r="D274" s="103"/>
      <c r="E274" s="103"/>
    </row>
    <row r="275">
      <c r="B275" s="103"/>
      <c r="C275" s="103"/>
      <c r="D275" s="103"/>
      <c r="E275" s="103"/>
    </row>
    <row r="276">
      <c r="B276" s="103"/>
      <c r="C276" s="103"/>
      <c r="D276" s="103"/>
      <c r="E276" s="103"/>
    </row>
    <row r="277">
      <c r="B277" s="103"/>
      <c r="C277" s="103"/>
      <c r="D277" s="103"/>
      <c r="E277" s="103"/>
    </row>
    <row r="278">
      <c r="B278" s="103"/>
      <c r="C278" s="103"/>
      <c r="D278" s="103"/>
      <c r="E278" s="103"/>
    </row>
    <row r="279">
      <c r="B279" s="103"/>
      <c r="C279" s="103"/>
      <c r="D279" s="103"/>
      <c r="E279" s="103"/>
    </row>
    <row r="280">
      <c r="B280" s="103"/>
      <c r="C280" s="103"/>
      <c r="D280" s="103"/>
      <c r="E280" s="103"/>
    </row>
    <row r="281">
      <c r="B281" s="103"/>
      <c r="C281" s="103"/>
      <c r="D281" s="103"/>
      <c r="E281" s="103"/>
    </row>
    <row r="282">
      <c r="B282" s="103"/>
      <c r="C282" s="103"/>
      <c r="D282" s="103"/>
      <c r="E282" s="103"/>
    </row>
    <row r="283">
      <c r="B283" s="103"/>
      <c r="C283" s="103"/>
      <c r="D283" s="103"/>
      <c r="E283" s="103"/>
    </row>
    <row r="284">
      <c r="B284" s="103"/>
      <c r="C284" s="103"/>
      <c r="D284" s="103"/>
      <c r="E284" s="103"/>
    </row>
    <row r="285">
      <c r="B285" s="103"/>
      <c r="C285" s="103"/>
      <c r="D285" s="103"/>
      <c r="E285" s="103"/>
    </row>
    <row r="286">
      <c r="B286" s="103"/>
      <c r="C286" s="103"/>
      <c r="D286" s="103"/>
      <c r="E286" s="103"/>
    </row>
    <row r="287">
      <c r="B287" s="103"/>
      <c r="C287" s="103"/>
      <c r="D287" s="103"/>
      <c r="E287" s="103"/>
    </row>
    <row r="288">
      <c r="B288" s="103"/>
      <c r="C288" s="103"/>
      <c r="D288" s="103"/>
      <c r="E288" s="103"/>
    </row>
    <row r="289">
      <c r="B289" s="103"/>
      <c r="C289" s="103"/>
      <c r="D289" s="103"/>
      <c r="E289" s="103"/>
    </row>
    <row r="290">
      <c r="B290" s="103"/>
      <c r="C290" s="103"/>
      <c r="D290" s="103"/>
      <c r="E290" s="103"/>
    </row>
    <row r="291">
      <c r="B291" s="103"/>
      <c r="C291" s="103"/>
      <c r="D291" s="103"/>
      <c r="E291" s="103"/>
    </row>
    <row r="292">
      <c r="B292" s="103"/>
      <c r="C292" s="103"/>
      <c r="D292" s="103"/>
      <c r="E292" s="103"/>
    </row>
    <row r="293">
      <c r="B293" s="103"/>
      <c r="C293" s="103"/>
      <c r="D293" s="103"/>
      <c r="E293" s="103"/>
    </row>
    <row r="294">
      <c r="B294" s="103"/>
      <c r="C294" s="103"/>
      <c r="D294" s="103"/>
      <c r="E294" s="103"/>
    </row>
    <row r="295">
      <c r="B295" s="103"/>
      <c r="C295" s="103"/>
      <c r="D295" s="103"/>
      <c r="E295" s="103"/>
    </row>
    <row r="296">
      <c r="B296" s="103"/>
      <c r="C296" s="103"/>
      <c r="D296" s="103"/>
      <c r="E296" s="103"/>
    </row>
    <row r="297">
      <c r="B297" s="103"/>
      <c r="C297" s="103"/>
      <c r="D297" s="103"/>
      <c r="E297" s="103"/>
    </row>
    <row r="298">
      <c r="B298" s="103"/>
      <c r="C298" s="103"/>
      <c r="D298" s="103"/>
      <c r="E298" s="103"/>
    </row>
    <row r="299">
      <c r="B299" s="103"/>
      <c r="C299" s="103"/>
      <c r="D299" s="103"/>
      <c r="E299" s="103"/>
    </row>
    <row r="300">
      <c r="B300" s="103"/>
      <c r="C300" s="103"/>
      <c r="D300" s="103"/>
      <c r="E300" s="103"/>
    </row>
    <row r="301">
      <c r="B301" s="103"/>
      <c r="C301" s="103"/>
      <c r="D301" s="103"/>
      <c r="E301" s="103"/>
    </row>
    <row r="302">
      <c r="B302" s="103"/>
      <c r="C302" s="103"/>
      <c r="D302" s="103"/>
      <c r="E302" s="103"/>
    </row>
    <row r="303">
      <c r="B303" s="103"/>
      <c r="C303" s="103"/>
      <c r="D303" s="103"/>
      <c r="E303" s="103"/>
    </row>
    <row r="304">
      <c r="B304" s="103"/>
      <c r="C304" s="103"/>
      <c r="D304" s="103"/>
      <c r="E304" s="103"/>
    </row>
    <row r="305">
      <c r="B305" s="103"/>
      <c r="C305" s="103"/>
      <c r="D305" s="103"/>
      <c r="E305" s="103"/>
    </row>
    <row r="306">
      <c r="B306" s="103"/>
      <c r="C306" s="103"/>
      <c r="D306" s="103"/>
      <c r="E306" s="103"/>
    </row>
    <row r="307">
      <c r="B307" s="103"/>
      <c r="C307" s="103"/>
      <c r="D307" s="103"/>
      <c r="E307" s="103"/>
    </row>
    <row r="308">
      <c r="B308" s="103"/>
      <c r="C308" s="103"/>
      <c r="D308" s="103"/>
      <c r="E308" s="103"/>
    </row>
    <row r="309">
      <c r="B309" s="103"/>
      <c r="C309" s="103"/>
      <c r="D309" s="103"/>
      <c r="E309" s="103"/>
    </row>
    <row r="310">
      <c r="B310" s="103"/>
      <c r="C310" s="103"/>
      <c r="D310" s="103"/>
      <c r="E310" s="103"/>
    </row>
    <row r="311">
      <c r="B311" s="103"/>
      <c r="C311" s="103"/>
      <c r="D311" s="103"/>
      <c r="E311" s="103"/>
    </row>
    <row r="312">
      <c r="B312" s="103"/>
      <c r="C312" s="103"/>
      <c r="D312" s="103"/>
      <c r="E312" s="103"/>
    </row>
    <row r="313">
      <c r="B313" s="103"/>
      <c r="C313" s="103"/>
      <c r="D313" s="103"/>
      <c r="E313" s="103"/>
    </row>
    <row r="314">
      <c r="B314" s="103"/>
      <c r="C314" s="103"/>
      <c r="D314" s="103"/>
      <c r="E314" s="103"/>
    </row>
    <row r="315">
      <c r="B315" s="103"/>
      <c r="C315" s="103"/>
      <c r="D315" s="103"/>
      <c r="E315" s="103"/>
    </row>
    <row r="316">
      <c r="B316" s="103"/>
      <c r="C316" s="103"/>
      <c r="D316" s="103"/>
      <c r="E316" s="103"/>
    </row>
    <row r="317">
      <c r="B317" s="103"/>
      <c r="C317" s="103"/>
      <c r="D317" s="103"/>
      <c r="E317" s="103"/>
    </row>
    <row r="318">
      <c r="B318" s="103"/>
      <c r="C318" s="103"/>
      <c r="D318" s="103"/>
      <c r="E318" s="103"/>
    </row>
    <row r="319">
      <c r="B319" s="103"/>
      <c r="C319" s="103"/>
      <c r="D319" s="103"/>
      <c r="E319" s="103"/>
    </row>
    <row r="320">
      <c r="B320" s="103"/>
      <c r="C320" s="103"/>
      <c r="D320" s="103"/>
      <c r="E320" s="103"/>
    </row>
    <row r="321">
      <c r="B321" s="103"/>
      <c r="C321" s="103"/>
      <c r="D321" s="103"/>
      <c r="E321" s="103"/>
    </row>
    <row r="322">
      <c r="B322" s="103"/>
      <c r="C322" s="103"/>
      <c r="D322" s="103"/>
      <c r="E322" s="103"/>
    </row>
    <row r="323">
      <c r="B323" s="103"/>
      <c r="C323" s="103"/>
      <c r="D323" s="103"/>
      <c r="E323" s="103"/>
    </row>
    <row r="324">
      <c r="B324" s="103"/>
      <c r="C324" s="103"/>
      <c r="D324" s="103"/>
      <c r="E324" s="103"/>
    </row>
    <row r="325">
      <c r="B325" s="103"/>
      <c r="C325" s="103"/>
      <c r="D325" s="103"/>
      <c r="E325" s="103"/>
    </row>
    <row r="326">
      <c r="B326" s="103"/>
      <c r="C326" s="103"/>
      <c r="D326" s="103"/>
      <c r="E326" s="103"/>
    </row>
    <row r="327">
      <c r="B327" s="103"/>
      <c r="C327" s="103"/>
      <c r="D327" s="103"/>
      <c r="E327" s="103"/>
    </row>
    <row r="328">
      <c r="B328" s="103"/>
      <c r="C328" s="103"/>
      <c r="D328" s="103"/>
      <c r="E328" s="103"/>
    </row>
    <row r="329">
      <c r="B329" s="103"/>
      <c r="C329" s="103"/>
      <c r="D329" s="103"/>
      <c r="E329" s="103"/>
    </row>
    <row r="330">
      <c r="B330" s="103"/>
      <c r="C330" s="103"/>
      <c r="D330" s="103"/>
      <c r="E330" s="103"/>
    </row>
    <row r="331">
      <c r="B331" s="103"/>
      <c r="C331" s="103"/>
      <c r="D331" s="103"/>
      <c r="E331" s="103"/>
    </row>
    <row r="332">
      <c r="B332" s="103"/>
      <c r="C332" s="103"/>
      <c r="D332" s="103"/>
      <c r="E332" s="103"/>
    </row>
    <row r="333">
      <c r="B333" s="103"/>
      <c r="C333" s="103"/>
      <c r="D333" s="103"/>
      <c r="E333" s="103"/>
    </row>
    <row r="334">
      <c r="B334" s="103"/>
      <c r="C334" s="103"/>
      <c r="D334" s="103"/>
      <c r="E334" s="103"/>
    </row>
    <row r="335">
      <c r="B335" s="103"/>
      <c r="C335" s="103"/>
      <c r="D335" s="103"/>
      <c r="E335" s="103"/>
    </row>
    <row r="336">
      <c r="B336" s="103"/>
      <c r="C336" s="103"/>
      <c r="D336" s="103"/>
      <c r="E336" s="103"/>
    </row>
    <row r="337">
      <c r="B337" s="103"/>
      <c r="C337" s="103"/>
      <c r="D337" s="103"/>
      <c r="E337" s="103"/>
    </row>
    <row r="338">
      <c r="B338" s="103"/>
      <c r="C338" s="103"/>
      <c r="D338" s="103"/>
      <c r="E338" s="103"/>
    </row>
    <row r="339">
      <c r="B339" s="103"/>
      <c r="C339" s="103"/>
      <c r="D339" s="103"/>
      <c r="E339" s="103"/>
    </row>
    <row r="340">
      <c r="B340" s="103"/>
      <c r="C340" s="103"/>
      <c r="D340" s="103"/>
      <c r="E340" s="103"/>
    </row>
    <row r="341">
      <c r="B341" s="103"/>
      <c r="C341" s="103"/>
      <c r="D341" s="103"/>
      <c r="E341" s="103"/>
    </row>
    <row r="342">
      <c r="B342" s="103"/>
      <c r="C342" s="103"/>
      <c r="D342" s="103"/>
      <c r="E342" s="103"/>
    </row>
    <row r="343">
      <c r="B343" s="103"/>
      <c r="C343" s="103"/>
      <c r="D343" s="103"/>
      <c r="E343" s="103"/>
    </row>
    <row r="344">
      <c r="B344" s="103"/>
      <c r="C344" s="103"/>
      <c r="D344" s="103"/>
      <c r="E344" s="103"/>
    </row>
    <row r="345">
      <c r="B345" s="103"/>
      <c r="C345" s="103"/>
      <c r="D345" s="103"/>
      <c r="E345" s="103"/>
    </row>
    <row r="346">
      <c r="B346" s="103"/>
      <c r="C346" s="103"/>
      <c r="D346" s="103"/>
      <c r="E346" s="103"/>
    </row>
    <row r="347">
      <c r="B347" s="103"/>
      <c r="C347" s="103"/>
      <c r="D347" s="103"/>
      <c r="E347" s="103"/>
    </row>
    <row r="348">
      <c r="B348" s="103"/>
      <c r="C348" s="103"/>
      <c r="D348" s="103"/>
      <c r="E348" s="103"/>
    </row>
    <row r="349">
      <c r="B349" s="103"/>
      <c r="C349" s="103"/>
      <c r="D349" s="103"/>
      <c r="E349" s="103"/>
    </row>
    <row r="350">
      <c r="B350" s="103"/>
      <c r="C350" s="103"/>
      <c r="D350" s="103"/>
      <c r="E350" s="103"/>
    </row>
    <row r="351">
      <c r="B351" s="103"/>
      <c r="C351" s="103"/>
      <c r="D351" s="103"/>
      <c r="E351" s="103"/>
    </row>
    <row r="352">
      <c r="B352" s="103"/>
      <c r="C352" s="103"/>
      <c r="D352" s="103"/>
      <c r="E352" s="103"/>
    </row>
    <row r="353">
      <c r="B353" s="103"/>
      <c r="C353" s="103"/>
      <c r="D353" s="103"/>
      <c r="E353" s="103"/>
    </row>
    <row r="354">
      <c r="B354" s="103"/>
      <c r="C354" s="103"/>
      <c r="D354" s="103"/>
      <c r="E354" s="103"/>
    </row>
    <row r="355">
      <c r="B355" s="103"/>
      <c r="C355" s="103"/>
      <c r="D355" s="103"/>
      <c r="E355" s="103"/>
    </row>
    <row r="356">
      <c r="B356" s="103"/>
      <c r="C356" s="103"/>
      <c r="D356" s="103"/>
      <c r="E356" s="103"/>
    </row>
    <row r="357">
      <c r="B357" s="103"/>
      <c r="C357" s="103"/>
      <c r="D357" s="103"/>
      <c r="E357" s="103"/>
    </row>
    <row r="358">
      <c r="B358" s="103"/>
      <c r="C358" s="103"/>
      <c r="D358" s="103"/>
      <c r="E358" s="103"/>
    </row>
    <row r="359">
      <c r="B359" s="103"/>
      <c r="C359" s="103"/>
      <c r="D359" s="103"/>
      <c r="E359" s="103"/>
    </row>
    <row r="360">
      <c r="B360" s="103"/>
      <c r="C360" s="103"/>
      <c r="D360" s="103"/>
      <c r="E360" s="103"/>
    </row>
    <row r="361">
      <c r="B361" s="103"/>
      <c r="C361" s="103"/>
      <c r="D361" s="103"/>
      <c r="E361" s="103"/>
    </row>
    <row r="362">
      <c r="B362" s="103"/>
      <c r="C362" s="103"/>
      <c r="D362" s="103"/>
      <c r="E362" s="103"/>
    </row>
    <row r="363">
      <c r="B363" s="103"/>
      <c r="C363" s="103"/>
      <c r="D363" s="103"/>
      <c r="E363" s="103"/>
    </row>
    <row r="364">
      <c r="B364" s="103"/>
      <c r="C364" s="103"/>
      <c r="D364" s="103"/>
      <c r="E364" s="103"/>
    </row>
    <row r="365">
      <c r="B365" s="103"/>
      <c r="C365" s="103"/>
      <c r="D365" s="103"/>
      <c r="E365" s="103"/>
    </row>
    <row r="366">
      <c r="B366" s="103"/>
      <c r="C366" s="103"/>
      <c r="D366" s="103"/>
      <c r="E366" s="103"/>
    </row>
    <row r="367">
      <c r="B367" s="103"/>
      <c r="C367" s="103"/>
      <c r="D367" s="103"/>
      <c r="E367" s="103"/>
    </row>
    <row r="368">
      <c r="B368" s="103"/>
      <c r="C368" s="103"/>
      <c r="D368" s="103"/>
      <c r="E368" s="103"/>
    </row>
    <row r="369">
      <c r="B369" s="103"/>
      <c r="C369" s="103"/>
      <c r="D369" s="103"/>
      <c r="E369" s="103"/>
    </row>
    <row r="370">
      <c r="B370" s="103"/>
      <c r="C370" s="103"/>
      <c r="D370" s="103"/>
      <c r="E370" s="103"/>
    </row>
    <row r="371">
      <c r="B371" s="103"/>
      <c r="C371" s="103"/>
      <c r="D371" s="103"/>
      <c r="E371" s="103"/>
    </row>
    <row r="372">
      <c r="B372" s="103"/>
      <c r="C372" s="103"/>
      <c r="D372" s="103"/>
      <c r="E372" s="103"/>
    </row>
    <row r="373">
      <c r="B373" s="103"/>
      <c r="C373" s="103"/>
      <c r="D373" s="103"/>
      <c r="E373" s="103"/>
    </row>
    <row r="374">
      <c r="B374" s="103"/>
      <c r="C374" s="103"/>
      <c r="D374" s="103"/>
      <c r="E374" s="103"/>
    </row>
    <row r="375">
      <c r="B375" s="103"/>
      <c r="C375" s="103"/>
      <c r="D375" s="103"/>
      <c r="E375" s="103"/>
    </row>
    <row r="376">
      <c r="B376" s="103"/>
      <c r="C376" s="103"/>
      <c r="D376" s="103"/>
      <c r="E376" s="103"/>
    </row>
    <row r="377">
      <c r="B377" s="103"/>
      <c r="C377" s="103"/>
      <c r="D377" s="103"/>
      <c r="E377" s="103"/>
    </row>
    <row r="378">
      <c r="B378" s="103"/>
      <c r="C378" s="103"/>
      <c r="D378" s="103"/>
      <c r="E378" s="103"/>
    </row>
    <row r="379">
      <c r="B379" s="103"/>
      <c r="C379" s="103"/>
      <c r="D379" s="103"/>
      <c r="E379" s="103"/>
    </row>
    <row r="380">
      <c r="B380" s="103"/>
      <c r="C380" s="103"/>
      <c r="D380" s="103"/>
      <c r="E380" s="103"/>
    </row>
    <row r="381">
      <c r="B381" s="103"/>
      <c r="C381" s="103"/>
      <c r="D381" s="103"/>
      <c r="E381" s="103"/>
    </row>
    <row r="382">
      <c r="B382" s="103"/>
      <c r="C382" s="103"/>
      <c r="D382" s="103"/>
      <c r="E382" s="103"/>
    </row>
    <row r="383">
      <c r="B383" s="103"/>
      <c r="C383" s="103"/>
      <c r="D383" s="103"/>
      <c r="E383" s="103"/>
    </row>
    <row r="384">
      <c r="B384" s="103"/>
      <c r="C384" s="103"/>
      <c r="D384" s="103"/>
      <c r="E384" s="103"/>
    </row>
    <row r="385">
      <c r="B385" s="103"/>
      <c r="C385" s="103"/>
      <c r="D385" s="103"/>
      <c r="E385" s="103"/>
    </row>
    <row r="386">
      <c r="B386" s="103"/>
      <c r="C386" s="103"/>
      <c r="D386" s="103"/>
      <c r="E386" s="103"/>
    </row>
    <row r="387">
      <c r="B387" s="103"/>
      <c r="C387" s="103"/>
      <c r="D387" s="103"/>
      <c r="E387" s="103"/>
    </row>
    <row r="388">
      <c r="B388" s="103"/>
      <c r="C388" s="103"/>
      <c r="D388" s="103"/>
      <c r="E388" s="103"/>
    </row>
    <row r="389">
      <c r="B389" s="103"/>
      <c r="C389" s="103"/>
      <c r="D389" s="103"/>
      <c r="E389" s="103"/>
    </row>
    <row r="390">
      <c r="B390" s="103"/>
      <c r="C390" s="103"/>
      <c r="D390" s="103"/>
      <c r="E390" s="103"/>
    </row>
    <row r="391">
      <c r="B391" s="103"/>
      <c r="C391" s="103"/>
      <c r="D391" s="103"/>
      <c r="E391" s="103"/>
    </row>
    <row r="392">
      <c r="B392" s="103"/>
      <c r="C392" s="103"/>
      <c r="D392" s="103"/>
      <c r="E392" s="103"/>
    </row>
    <row r="393">
      <c r="B393" s="103"/>
      <c r="C393" s="103"/>
      <c r="D393" s="103"/>
      <c r="E393" s="103"/>
    </row>
    <row r="394">
      <c r="B394" s="103"/>
      <c r="C394" s="103"/>
      <c r="D394" s="103"/>
      <c r="E394" s="103"/>
    </row>
    <row r="395">
      <c r="B395" s="103"/>
      <c r="C395" s="103"/>
      <c r="D395" s="103"/>
      <c r="E395" s="103"/>
    </row>
    <row r="396">
      <c r="B396" s="103"/>
      <c r="C396" s="103"/>
      <c r="D396" s="103"/>
      <c r="E396" s="103"/>
    </row>
    <row r="397">
      <c r="B397" s="103"/>
      <c r="C397" s="103"/>
      <c r="D397" s="103"/>
      <c r="E397" s="103"/>
    </row>
    <row r="398">
      <c r="B398" s="103"/>
      <c r="C398" s="103"/>
      <c r="D398" s="103"/>
      <c r="E398" s="103"/>
    </row>
    <row r="399">
      <c r="B399" s="103"/>
      <c r="C399" s="103"/>
      <c r="D399" s="103"/>
      <c r="E399" s="103"/>
    </row>
    <row r="400">
      <c r="B400" s="103"/>
      <c r="C400" s="103"/>
      <c r="D400" s="103"/>
      <c r="E400" s="103"/>
    </row>
    <row r="401">
      <c r="B401" s="103"/>
      <c r="C401" s="103"/>
      <c r="D401" s="103"/>
      <c r="E401" s="103"/>
    </row>
    <row r="402">
      <c r="B402" s="103"/>
      <c r="C402" s="103"/>
      <c r="D402" s="103"/>
      <c r="E402" s="103"/>
    </row>
    <row r="403">
      <c r="B403" s="103"/>
      <c r="C403" s="103"/>
      <c r="D403" s="103"/>
      <c r="E403" s="103"/>
    </row>
    <row r="404">
      <c r="B404" s="103"/>
      <c r="C404" s="103"/>
      <c r="D404" s="103"/>
      <c r="E404" s="103"/>
    </row>
    <row r="405">
      <c r="B405" s="103"/>
      <c r="C405" s="103"/>
      <c r="D405" s="103"/>
      <c r="E405" s="103"/>
    </row>
    <row r="406">
      <c r="B406" s="103"/>
      <c r="C406" s="103"/>
      <c r="D406" s="103"/>
      <c r="E406" s="103"/>
    </row>
    <row r="407">
      <c r="B407" s="103"/>
      <c r="C407" s="103"/>
      <c r="D407" s="103"/>
      <c r="E407" s="103"/>
    </row>
    <row r="408">
      <c r="B408" s="103"/>
      <c r="C408" s="103"/>
      <c r="D408" s="103"/>
      <c r="E408" s="103"/>
    </row>
    <row r="409">
      <c r="B409" s="103"/>
      <c r="C409" s="103"/>
      <c r="D409" s="103"/>
      <c r="E409" s="103"/>
    </row>
    <row r="410">
      <c r="B410" s="103"/>
      <c r="C410" s="103"/>
      <c r="D410" s="103"/>
      <c r="E410" s="103"/>
    </row>
    <row r="411">
      <c r="B411" s="103"/>
      <c r="C411" s="103"/>
      <c r="D411" s="103"/>
      <c r="E411" s="103"/>
    </row>
    <row r="412">
      <c r="B412" s="103"/>
      <c r="C412" s="103"/>
      <c r="D412" s="103"/>
      <c r="E412" s="103"/>
    </row>
    <row r="413">
      <c r="B413" s="103"/>
      <c r="C413" s="103"/>
      <c r="D413" s="103"/>
      <c r="E413" s="103"/>
    </row>
    <row r="414">
      <c r="B414" s="103"/>
      <c r="C414" s="103"/>
      <c r="D414" s="103"/>
      <c r="E414" s="103"/>
    </row>
    <row r="415">
      <c r="B415" s="103"/>
      <c r="C415" s="103"/>
      <c r="D415" s="103"/>
      <c r="E415" s="103"/>
    </row>
    <row r="416">
      <c r="B416" s="103"/>
      <c r="C416" s="103"/>
      <c r="D416" s="103"/>
      <c r="E416" s="103"/>
    </row>
    <row r="417">
      <c r="B417" s="103"/>
      <c r="C417" s="103"/>
      <c r="D417" s="103"/>
      <c r="E417" s="103"/>
    </row>
    <row r="418">
      <c r="B418" s="103"/>
      <c r="C418" s="103"/>
      <c r="D418" s="103"/>
      <c r="E418" s="103"/>
    </row>
    <row r="419">
      <c r="B419" s="103"/>
      <c r="C419" s="103"/>
      <c r="D419" s="103"/>
      <c r="E419" s="103"/>
    </row>
    <row r="420">
      <c r="B420" s="103"/>
      <c r="C420" s="103"/>
      <c r="D420" s="103"/>
      <c r="E420" s="103"/>
    </row>
    <row r="421">
      <c r="B421" s="103"/>
      <c r="C421" s="103"/>
      <c r="D421" s="103"/>
      <c r="E421" s="103"/>
    </row>
    <row r="422">
      <c r="B422" s="103"/>
      <c r="C422" s="103"/>
      <c r="D422" s="103"/>
      <c r="E422" s="103"/>
    </row>
    <row r="423">
      <c r="B423" s="103"/>
      <c r="C423" s="103"/>
      <c r="D423" s="103"/>
      <c r="E423" s="103"/>
    </row>
    <row r="424">
      <c r="B424" s="103"/>
      <c r="C424" s="103"/>
      <c r="D424" s="103"/>
      <c r="E424" s="103"/>
    </row>
    <row r="425">
      <c r="B425" s="103"/>
      <c r="C425" s="103"/>
      <c r="D425" s="103"/>
      <c r="E425" s="103"/>
    </row>
    <row r="426">
      <c r="B426" s="103"/>
      <c r="C426" s="103"/>
      <c r="D426" s="103"/>
      <c r="E426" s="103"/>
    </row>
    <row r="427">
      <c r="B427" s="103"/>
      <c r="C427" s="103"/>
      <c r="D427" s="103"/>
      <c r="E427" s="103"/>
    </row>
    <row r="428">
      <c r="B428" s="103"/>
      <c r="C428" s="103"/>
      <c r="D428" s="103"/>
      <c r="E428" s="103"/>
    </row>
    <row r="429">
      <c r="B429" s="103"/>
      <c r="C429" s="103"/>
      <c r="D429" s="103"/>
      <c r="E429" s="103"/>
    </row>
    <row r="430">
      <c r="B430" s="103"/>
      <c r="C430" s="103"/>
      <c r="D430" s="103"/>
      <c r="E430" s="103"/>
    </row>
    <row r="431">
      <c r="B431" s="103"/>
      <c r="C431" s="103"/>
      <c r="D431" s="103"/>
      <c r="E431" s="103"/>
    </row>
    <row r="432">
      <c r="B432" s="103"/>
      <c r="C432" s="103"/>
      <c r="D432" s="103"/>
      <c r="E432" s="103"/>
    </row>
    <row r="433">
      <c r="B433" s="103"/>
      <c r="C433" s="103"/>
      <c r="D433" s="103"/>
      <c r="E433" s="103"/>
    </row>
    <row r="434">
      <c r="B434" s="103"/>
      <c r="C434" s="103"/>
      <c r="D434" s="103"/>
      <c r="E434" s="103"/>
    </row>
    <row r="435">
      <c r="B435" s="103"/>
      <c r="C435" s="103"/>
      <c r="D435" s="103"/>
      <c r="E435" s="103"/>
    </row>
    <row r="436">
      <c r="B436" s="103"/>
      <c r="C436" s="103"/>
      <c r="D436" s="103"/>
      <c r="E436" s="103"/>
    </row>
    <row r="437">
      <c r="B437" s="103"/>
      <c r="C437" s="103"/>
      <c r="D437" s="103"/>
      <c r="E437" s="103"/>
    </row>
    <row r="438">
      <c r="B438" s="103"/>
      <c r="C438" s="103"/>
      <c r="D438" s="103"/>
      <c r="E438" s="103"/>
    </row>
    <row r="439">
      <c r="B439" s="103"/>
      <c r="C439" s="103"/>
      <c r="D439" s="103"/>
      <c r="E439" s="103"/>
    </row>
    <row r="440">
      <c r="B440" s="103"/>
      <c r="C440" s="103"/>
      <c r="D440" s="103"/>
      <c r="E440" s="103"/>
    </row>
    <row r="441">
      <c r="B441" s="103"/>
      <c r="C441" s="103"/>
      <c r="D441" s="103"/>
      <c r="E441" s="103"/>
    </row>
    <row r="442">
      <c r="B442" s="103"/>
      <c r="C442" s="103"/>
      <c r="D442" s="103"/>
      <c r="E442" s="103"/>
    </row>
    <row r="443">
      <c r="B443" s="103"/>
      <c r="C443" s="103"/>
      <c r="D443" s="103"/>
      <c r="E443" s="103"/>
    </row>
    <row r="444">
      <c r="B444" s="103"/>
      <c r="C444" s="103"/>
      <c r="D444" s="103"/>
      <c r="E444" s="103"/>
    </row>
    <row r="445">
      <c r="B445" s="103"/>
      <c r="C445" s="103"/>
      <c r="D445" s="103"/>
      <c r="E445" s="103"/>
    </row>
    <row r="446">
      <c r="B446" s="103"/>
      <c r="C446" s="103"/>
      <c r="D446" s="103"/>
      <c r="E446" s="103"/>
    </row>
    <row r="447">
      <c r="B447" s="103"/>
      <c r="C447" s="103"/>
      <c r="D447" s="103"/>
      <c r="E447" s="103"/>
    </row>
    <row r="448">
      <c r="B448" s="103"/>
      <c r="C448" s="103"/>
      <c r="D448" s="103"/>
      <c r="E448" s="103"/>
    </row>
    <row r="449">
      <c r="B449" s="103"/>
      <c r="C449" s="103"/>
      <c r="D449" s="103"/>
      <c r="E449" s="103"/>
    </row>
    <row r="450">
      <c r="B450" s="103"/>
      <c r="C450" s="103"/>
      <c r="D450" s="103"/>
      <c r="E450" s="103"/>
    </row>
    <row r="451">
      <c r="B451" s="103"/>
      <c r="C451" s="103"/>
      <c r="D451" s="103"/>
      <c r="E451" s="103"/>
    </row>
    <row r="452">
      <c r="B452" s="103"/>
      <c r="C452" s="103"/>
      <c r="D452" s="103"/>
      <c r="E452" s="103"/>
    </row>
    <row r="453">
      <c r="B453" s="103"/>
      <c r="C453" s="103"/>
      <c r="D453" s="103"/>
      <c r="E453" s="103"/>
    </row>
    <row r="454">
      <c r="B454" s="103"/>
      <c r="C454" s="103"/>
      <c r="D454" s="103"/>
      <c r="E454" s="103"/>
    </row>
    <row r="455">
      <c r="B455" s="103"/>
      <c r="C455" s="103"/>
      <c r="D455" s="103"/>
      <c r="E455" s="103"/>
    </row>
    <row r="456">
      <c r="B456" s="103"/>
      <c r="C456" s="103"/>
      <c r="D456" s="103"/>
      <c r="E456" s="103"/>
    </row>
    <row r="457">
      <c r="B457" s="103"/>
      <c r="C457" s="103"/>
      <c r="D457" s="103"/>
      <c r="E457" s="103"/>
    </row>
    <row r="458">
      <c r="B458" s="103"/>
      <c r="C458" s="103"/>
      <c r="D458" s="103"/>
      <c r="E458" s="103"/>
    </row>
    <row r="459">
      <c r="B459" s="103"/>
      <c r="C459" s="103"/>
      <c r="D459" s="103"/>
      <c r="E459" s="103"/>
    </row>
    <row r="460">
      <c r="B460" s="103"/>
      <c r="C460" s="103"/>
      <c r="D460" s="103"/>
      <c r="E460" s="103"/>
    </row>
    <row r="461">
      <c r="B461" s="103"/>
      <c r="C461" s="103"/>
      <c r="D461" s="103"/>
      <c r="E461" s="103"/>
    </row>
    <row r="462">
      <c r="B462" s="103"/>
      <c r="C462" s="103"/>
      <c r="D462" s="103"/>
      <c r="E462" s="103"/>
    </row>
    <row r="463">
      <c r="B463" s="103"/>
      <c r="C463" s="103"/>
      <c r="D463" s="103"/>
      <c r="E463" s="103"/>
    </row>
    <row r="464">
      <c r="B464" s="103"/>
      <c r="C464" s="103"/>
      <c r="D464" s="103"/>
      <c r="E464" s="103"/>
    </row>
    <row r="465">
      <c r="B465" s="103"/>
      <c r="C465" s="103"/>
      <c r="D465" s="103"/>
      <c r="E465" s="103"/>
    </row>
    <row r="466">
      <c r="B466" s="103"/>
      <c r="C466" s="103"/>
      <c r="D466" s="103"/>
      <c r="E466" s="103"/>
    </row>
    <row r="467">
      <c r="B467" s="103"/>
      <c r="C467" s="103"/>
      <c r="D467" s="103"/>
      <c r="E467" s="103"/>
    </row>
    <row r="468">
      <c r="B468" s="103"/>
      <c r="C468" s="103"/>
      <c r="D468" s="103"/>
      <c r="E468" s="103"/>
    </row>
    <row r="469">
      <c r="B469" s="103"/>
      <c r="C469" s="103"/>
      <c r="D469" s="103"/>
      <c r="E469" s="103"/>
    </row>
    <row r="470">
      <c r="B470" s="103"/>
      <c r="C470" s="103"/>
      <c r="D470" s="103"/>
      <c r="E470" s="103"/>
    </row>
    <row r="471">
      <c r="B471" s="103"/>
      <c r="C471" s="103"/>
      <c r="D471" s="103"/>
      <c r="E471" s="103"/>
    </row>
    <row r="472">
      <c r="B472" s="103"/>
      <c r="C472" s="103"/>
      <c r="D472" s="103"/>
      <c r="E472" s="103"/>
    </row>
    <row r="473">
      <c r="B473" s="103"/>
      <c r="C473" s="103"/>
      <c r="D473" s="103"/>
      <c r="E473" s="103"/>
    </row>
    <row r="474">
      <c r="B474" s="103"/>
      <c r="C474" s="103"/>
      <c r="D474" s="103"/>
      <c r="E474" s="103"/>
    </row>
    <row r="475">
      <c r="B475" s="103"/>
      <c r="C475" s="103"/>
      <c r="D475" s="103"/>
      <c r="E475" s="103"/>
    </row>
    <row r="476">
      <c r="B476" s="103"/>
      <c r="C476" s="103"/>
      <c r="D476" s="103"/>
      <c r="E476" s="103"/>
    </row>
    <row r="477">
      <c r="B477" s="103"/>
      <c r="C477" s="103"/>
      <c r="D477" s="103"/>
      <c r="E477" s="103"/>
    </row>
    <row r="478">
      <c r="B478" s="103"/>
      <c r="C478" s="103"/>
      <c r="D478" s="103"/>
      <c r="E478" s="103"/>
    </row>
    <row r="479">
      <c r="B479" s="103"/>
      <c r="C479" s="103"/>
      <c r="D479" s="103"/>
      <c r="E479" s="103"/>
    </row>
    <row r="480">
      <c r="B480" s="103"/>
      <c r="C480" s="103"/>
      <c r="D480" s="103"/>
      <c r="E480" s="103"/>
    </row>
    <row r="481">
      <c r="B481" s="103"/>
      <c r="C481" s="103"/>
      <c r="D481" s="103"/>
      <c r="E481" s="103"/>
    </row>
    <row r="482">
      <c r="B482" s="103"/>
      <c r="C482" s="103"/>
      <c r="D482" s="103"/>
      <c r="E482" s="103"/>
    </row>
    <row r="483">
      <c r="B483" s="103"/>
      <c r="C483" s="103"/>
      <c r="D483" s="103"/>
      <c r="E483" s="103"/>
    </row>
    <row r="484">
      <c r="B484" s="103"/>
      <c r="C484" s="103"/>
      <c r="D484" s="103"/>
      <c r="E484" s="103"/>
    </row>
    <row r="485">
      <c r="B485" s="103"/>
      <c r="C485" s="103"/>
      <c r="D485" s="103"/>
      <c r="E485" s="103"/>
    </row>
    <row r="486">
      <c r="B486" s="103"/>
      <c r="C486" s="103"/>
      <c r="D486" s="103"/>
      <c r="E486" s="103"/>
    </row>
    <row r="487">
      <c r="B487" s="103"/>
      <c r="C487" s="103"/>
      <c r="D487" s="103"/>
      <c r="E487" s="103"/>
    </row>
    <row r="488">
      <c r="B488" s="103"/>
      <c r="C488" s="103"/>
      <c r="D488" s="103"/>
      <c r="E488" s="103"/>
    </row>
    <row r="489">
      <c r="B489" s="103"/>
      <c r="C489" s="103"/>
      <c r="D489" s="103"/>
      <c r="E489" s="103"/>
    </row>
    <row r="490">
      <c r="B490" s="103"/>
      <c r="C490" s="103"/>
      <c r="D490" s="103"/>
      <c r="E490" s="103"/>
    </row>
    <row r="491">
      <c r="B491" s="103"/>
      <c r="C491" s="103"/>
      <c r="D491" s="103"/>
      <c r="E491" s="103"/>
    </row>
    <row r="492">
      <c r="B492" s="103"/>
      <c r="C492" s="103"/>
      <c r="D492" s="103"/>
      <c r="E492" s="103"/>
    </row>
    <row r="493">
      <c r="B493" s="103"/>
      <c r="C493" s="103"/>
      <c r="D493" s="103"/>
      <c r="E493" s="103"/>
    </row>
    <row r="494">
      <c r="B494" s="103"/>
      <c r="C494" s="103"/>
      <c r="D494" s="103"/>
      <c r="E494" s="103"/>
    </row>
    <row r="495">
      <c r="B495" s="103"/>
      <c r="C495" s="103"/>
      <c r="D495" s="103"/>
      <c r="E495" s="103"/>
    </row>
    <row r="496">
      <c r="B496" s="103"/>
      <c r="C496" s="103"/>
      <c r="D496" s="103"/>
      <c r="E496" s="103"/>
    </row>
    <row r="497">
      <c r="B497" s="103"/>
      <c r="C497" s="103"/>
      <c r="D497" s="103"/>
      <c r="E497" s="103"/>
    </row>
    <row r="498">
      <c r="B498" s="103"/>
      <c r="C498" s="103"/>
      <c r="D498" s="103"/>
      <c r="E498" s="103"/>
    </row>
    <row r="499">
      <c r="B499" s="103"/>
      <c r="C499" s="103"/>
      <c r="D499" s="103"/>
      <c r="E499" s="103"/>
    </row>
    <row r="500">
      <c r="B500" s="103"/>
      <c r="C500" s="103"/>
      <c r="D500" s="103"/>
      <c r="E500" s="103"/>
    </row>
    <row r="501">
      <c r="B501" s="103"/>
      <c r="C501" s="103"/>
      <c r="D501" s="103"/>
      <c r="E501" s="103"/>
    </row>
    <row r="502">
      <c r="B502" s="103"/>
      <c r="C502" s="103"/>
      <c r="D502" s="103"/>
      <c r="E502" s="103"/>
    </row>
    <row r="503">
      <c r="B503" s="103"/>
      <c r="C503" s="103"/>
      <c r="D503" s="103"/>
      <c r="E503" s="103"/>
    </row>
    <row r="504">
      <c r="B504" s="103"/>
      <c r="C504" s="103"/>
      <c r="D504" s="103"/>
      <c r="E504" s="103"/>
    </row>
    <row r="505">
      <c r="B505" s="103"/>
      <c r="C505" s="103"/>
      <c r="D505" s="103"/>
      <c r="E505" s="103"/>
    </row>
    <row r="506">
      <c r="B506" s="103"/>
      <c r="C506" s="103"/>
      <c r="D506" s="103"/>
      <c r="E506" s="103"/>
    </row>
    <row r="507">
      <c r="B507" s="103"/>
      <c r="C507" s="103"/>
      <c r="D507" s="103"/>
      <c r="E507" s="103"/>
    </row>
    <row r="508">
      <c r="B508" s="103"/>
      <c r="C508" s="103"/>
      <c r="D508" s="103"/>
      <c r="E508" s="103"/>
    </row>
    <row r="509">
      <c r="B509" s="103"/>
      <c r="C509" s="103"/>
      <c r="D509" s="103"/>
      <c r="E509" s="103"/>
    </row>
    <row r="510">
      <c r="B510" s="103"/>
      <c r="C510" s="103"/>
      <c r="D510" s="103"/>
      <c r="E510" s="103"/>
    </row>
    <row r="511">
      <c r="B511" s="103"/>
      <c r="C511" s="103"/>
      <c r="D511" s="103"/>
      <c r="E511" s="103"/>
    </row>
    <row r="512">
      <c r="B512" s="103"/>
      <c r="C512" s="103"/>
      <c r="D512" s="103"/>
      <c r="E512" s="103"/>
    </row>
    <row r="513">
      <c r="B513" s="103"/>
      <c r="C513" s="103"/>
      <c r="D513" s="103"/>
      <c r="E513" s="103"/>
    </row>
    <row r="514">
      <c r="B514" s="103"/>
      <c r="C514" s="103"/>
      <c r="D514" s="103"/>
      <c r="E514" s="103"/>
    </row>
    <row r="515">
      <c r="B515" s="103"/>
      <c r="C515" s="103"/>
      <c r="D515" s="103"/>
      <c r="E515" s="103"/>
    </row>
    <row r="516">
      <c r="B516" s="103"/>
      <c r="C516" s="103"/>
      <c r="D516" s="103"/>
      <c r="E516" s="103"/>
    </row>
    <row r="517">
      <c r="B517" s="103"/>
      <c r="C517" s="103"/>
      <c r="D517" s="103"/>
      <c r="E517" s="103"/>
    </row>
    <row r="518">
      <c r="B518" s="103"/>
      <c r="C518" s="103"/>
      <c r="D518" s="103"/>
      <c r="E518" s="103"/>
    </row>
    <row r="519">
      <c r="B519" s="103"/>
      <c r="C519" s="103"/>
      <c r="D519" s="103"/>
      <c r="E519" s="103"/>
    </row>
    <row r="520">
      <c r="B520" s="103"/>
      <c r="C520" s="103"/>
      <c r="D520" s="103"/>
      <c r="E520" s="103"/>
    </row>
    <row r="521">
      <c r="B521" s="103"/>
      <c r="C521" s="103"/>
      <c r="D521" s="103"/>
      <c r="E521" s="103"/>
    </row>
    <row r="522">
      <c r="B522" s="103"/>
      <c r="C522" s="103"/>
      <c r="D522" s="103"/>
      <c r="E522" s="103"/>
    </row>
    <row r="523">
      <c r="B523" s="103"/>
      <c r="C523" s="103"/>
      <c r="D523" s="103"/>
      <c r="E523" s="103"/>
    </row>
    <row r="524">
      <c r="B524" s="103"/>
      <c r="C524" s="103"/>
      <c r="D524" s="103"/>
      <c r="E524" s="103"/>
    </row>
    <row r="525">
      <c r="B525" s="103"/>
      <c r="C525" s="103"/>
      <c r="D525" s="103"/>
      <c r="E525" s="103"/>
    </row>
    <row r="526">
      <c r="B526" s="103"/>
      <c r="C526" s="103"/>
      <c r="D526" s="103"/>
      <c r="E526" s="103"/>
    </row>
    <row r="527">
      <c r="B527" s="103"/>
      <c r="C527" s="103"/>
      <c r="D527" s="103"/>
      <c r="E527" s="103"/>
    </row>
    <row r="528">
      <c r="B528" s="103"/>
      <c r="C528" s="103"/>
      <c r="D528" s="103"/>
      <c r="E528" s="103"/>
    </row>
    <row r="529">
      <c r="B529" s="103"/>
      <c r="C529" s="103"/>
      <c r="D529" s="103"/>
      <c r="E529" s="103"/>
    </row>
    <row r="530">
      <c r="B530" s="103"/>
      <c r="C530" s="103"/>
      <c r="D530" s="103"/>
      <c r="E530" s="103"/>
    </row>
    <row r="531">
      <c r="B531" s="103"/>
      <c r="C531" s="103"/>
      <c r="D531" s="103"/>
      <c r="E531" s="103"/>
    </row>
    <row r="532">
      <c r="B532" s="103"/>
      <c r="C532" s="103"/>
      <c r="D532" s="103"/>
      <c r="E532" s="103"/>
    </row>
    <row r="533">
      <c r="B533" s="103"/>
      <c r="C533" s="103"/>
      <c r="D533" s="103"/>
      <c r="E533" s="103"/>
    </row>
    <row r="534">
      <c r="B534" s="103"/>
      <c r="C534" s="103"/>
      <c r="D534" s="103"/>
      <c r="E534" s="103"/>
    </row>
    <row r="535">
      <c r="B535" s="103"/>
      <c r="C535" s="103"/>
      <c r="D535" s="103"/>
      <c r="E535" s="103"/>
    </row>
    <row r="536">
      <c r="B536" s="103"/>
      <c r="C536" s="103"/>
      <c r="D536" s="103"/>
      <c r="E536" s="103"/>
    </row>
    <row r="537">
      <c r="B537" s="103"/>
      <c r="C537" s="103"/>
      <c r="D537" s="103"/>
      <c r="E537" s="103"/>
    </row>
    <row r="538">
      <c r="B538" s="103"/>
      <c r="C538" s="103"/>
      <c r="D538" s="103"/>
      <c r="E538" s="103"/>
    </row>
    <row r="539">
      <c r="B539" s="103"/>
      <c r="C539" s="103"/>
      <c r="D539" s="103"/>
      <c r="E539" s="103"/>
    </row>
    <row r="540">
      <c r="B540" s="103"/>
      <c r="C540" s="103"/>
      <c r="D540" s="103"/>
      <c r="E540" s="103"/>
    </row>
    <row r="541">
      <c r="B541" s="103"/>
      <c r="C541" s="103"/>
      <c r="D541" s="103"/>
      <c r="E541" s="103"/>
    </row>
    <row r="542">
      <c r="B542" s="103"/>
      <c r="C542" s="103"/>
      <c r="D542" s="103"/>
      <c r="E542" s="103"/>
    </row>
    <row r="543">
      <c r="B543" s="103"/>
      <c r="C543" s="103"/>
      <c r="D543" s="103"/>
      <c r="E543" s="103"/>
    </row>
    <row r="544">
      <c r="B544" s="103"/>
      <c r="C544" s="103"/>
      <c r="D544" s="103"/>
      <c r="E544" s="103"/>
    </row>
    <row r="545">
      <c r="B545" s="103"/>
      <c r="C545" s="103"/>
      <c r="D545" s="103"/>
      <c r="E545" s="103"/>
    </row>
    <row r="546">
      <c r="B546" s="103"/>
      <c r="C546" s="103"/>
      <c r="D546" s="103"/>
      <c r="E546" s="103"/>
    </row>
    <row r="547">
      <c r="B547" s="103"/>
      <c r="C547" s="103"/>
      <c r="D547" s="103"/>
      <c r="E547" s="103"/>
    </row>
    <row r="548">
      <c r="B548" s="103"/>
      <c r="C548" s="103"/>
      <c r="D548" s="103"/>
      <c r="E548" s="103"/>
    </row>
    <row r="549">
      <c r="B549" s="103"/>
      <c r="C549" s="103"/>
      <c r="D549" s="103"/>
      <c r="E549" s="103"/>
    </row>
    <row r="550">
      <c r="B550" s="103"/>
      <c r="C550" s="103"/>
      <c r="D550" s="103"/>
      <c r="E550" s="103"/>
    </row>
    <row r="551">
      <c r="B551" s="103"/>
      <c r="C551" s="103"/>
      <c r="D551" s="103"/>
      <c r="E551" s="103"/>
    </row>
    <row r="552">
      <c r="B552" s="103"/>
      <c r="C552" s="103"/>
      <c r="D552" s="103"/>
      <c r="E552" s="103"/>
    </row>
    <row r="553">
      <c r="B553" s="103"/>
      <c r="C553" s="103"/>
      <c r="D553" s="103"/>
      <c r="E553" s="103"/>
    </row>
    <row r="554">
      <c r="B554" s="103"/>
      <c r="C554" s="103"/>
      <c r="D554" s="103"/>
      <c r="E554" s="103"/>
    </row>
    <row r="555">
      <c r="B555" s="103"/>
      <c r="C555" s="103"/>
      <c r="D555" s="103"/>
      <c r="E555" s="103"/>
    </row>
    <row r="556">
      <c r="B556" s="103"/>
      <c r="C556" s="103"/>
      <c r="D556" s="103"/>
      <c r="E556" s="103"/>
    </row>
    <row r="557">
      <c r="B557" s="103"/>
      <c r="C557" s="103"/>
      <c r="D557" s="103"/>
      <c r="E557" s="103"/>
    </row>
    <row r="558">
      <c r="B558" s="103"/>
      <c r="C558" s="103"/>
      <c r="D558" s="103"/>
      <c r="E558" s="103"/>
    </row>
    <row r="559">
      <c r="B559" s="103"/>
      <c r="C559" s="103"/>
      <c r="D559" s="103"/>
      <c r="E559" s="103"/>
    </row>
    <row r="560">
      <c r="B560" s="103"/>
      <c r="C560" s="103"/>
      <c r="D560" s="103"/>
      <c r="E560" s="103"/>
    </row>
    <row r="561">
      <c r="B561" s="103"/>
      <c r="C561" s="103"/>
      <c r="D561" s="103"/>
      <c r="E561" s="103"/>
    </row>
    <row r="562">
      <c r="B562" s="103"/>
      <c r="C562" s="103"/>
      <c r="D562" s="103"/>
      <c r="E562" s="103"/>
    </row>
    <row r="563">
      <c r="B563" s="103"/>
      <c r="C563" s="103"/>
      <c r="D563" s="103"/>
      <c r="E563" s="103"/>
    </row>
    <row r="564">
      <c r="B564" s="103"/>
      <c r="C564" s="103"/>
      <c r="D564" s="103"/>
      <c r="E564" s="103"/>
    </row>
    <row r="565">
      <c r="B565" s="103"/>
      <c r="C565" s="103"/>
      <c r="D565" s="103"/>
      <c r="E565" s="103"/>
    </row>
    <row r="566">
      <c r="B566" s="103"/>
      <c r="C566" s="103"/>
      <c r="D566" s="103"/>
      <c r="E566" s="103"/>
    </row>
    <row r="567">
      <c r="B567" s="103"/>
      <c r="C567" s="103"/>
      <c r="D567" s="103"/>
      <c r="E567" s="103"/>
    </row>
    <row r="568">
      <c r="B568" s="103"/>
      <c r="C568" s="103"/>
      <c r="D568" s="103"/>
      <c r="E568" s="103"/>
    </row>
    <row r="569">
      <c r="B569" s="103"/>
      <c r="C569" s="103"/>
      <c r="D569" s="103"/>
      <c r="E569" s="103"/>
    </row>
    <row r="570">
      <c r="B570" s="103"/>
      <c r="C570" s="103"/>
      <c r="D570" s="103"/>
      <c r="E570" s="103"/>
    </row>
    <row r="571">
      <c r="B571" s="103"/>
      <c r="C571" s="103"/>
      <c r="D571" s="103"/>
      <c r="E571" s="103"/>
    </row>
    <row r="572">
      <c r="B572" s="103"/>
      <c r="C572" s="103"/>
      <c r="D572" s="103"/>
      <c r="E572" s="103"/>
    </row>
    <row r="573">
      <c r="B573" s="103"/>
      <c r="C573" s="103"/>
      <c r="D573" s="103"/>
      <c r="E573" s="103"/>
    </row>
    <row r="574">
      <c r="B574" s="103"/>
      <c r="C574" s="103"/>
      <c r="D574" s="103"/>
      <c r="E574" s="103"/>
    </row>
    <row r="575">
      <c r="B575" s="103"/>
      <c r="C575" s="103"/>
      <c r="D575" s="103"/>
      <c r="E575" s="103"/>
    </row>
    <row r="576">
      <c r="B576" s="103"/>
      <c r="C576" s="103"/>
      <c r="D576" s="103"/>
      <c r="E576" s="103"/>
    </row>
    <row r="577">
      <c r="B577" s="103"/>
      <c r="C577" s="103"/>
      <c r="D577" s="103"/>
      <c r="E577" s="103"/>
    </row>
    <row r="578">
      <c r="B578" s="103"/>
      <c r="C578" s="103"/>
      <c r="D578" s="103"/>
      <c r="E578" s="103"/>
    </row>
    <row r="579">
      <c r="B579" s="103"/>
      <c r="C579" s="103"/>
      <c r="D579" s="103"/>
      <c r="E579" s="103"/>
    </row>
    <row r="580">
      <c r="B580" s="103"/>
      <c r="C580" s="103"/>
      <c r="D580" s="103"/>
      <c r="E580" s="103"/>
    </row>
    <row r="581">
      <c r="B581" s="103"/>
      <c r="C581" s="103"/>
      <c r="D581" s="103"/>
      <c r="E581" s="103"/>
    </row>
    <row r="582">
      <c r="B582" s="103"/>
      <c r="C582" s="103"/>
      <c r="D582" s="103"/>
      <c r="E582" s="103"/>
    </row>
    <row r="583">
      <c r="B583" s="103"/>
      <c r="C583" s="103"/>
      <c r="D583" s="103"/>
      <c r="E583" s="103"/>
    </row>
    <row r="584">
      <c r="B584" s="103"/>
      <c r="C584" s="103"/>
      <c r="D584" s="103"/>
      <c r="E584" s="103"/>
    </row>
    <row r="585">
      <c r="B585" s="103"/>
      <c r="C585" s="103"/>
      <c r="D585" s="103"/>
      <c r="E585" s="103"/>
    </row>
    <row r="586">
      <c r="B586" s="103"/>
      <c r="C586" s="103"/>
      <c r="D586" s="103"/>
      <c r="E586" s="103"/>
    </row>
    <row r="587">
      <c r="B587" s="103"/>
      <c r="C587" s="103"/>
      <c r="D587" s="103"/>
      <c r="E587" s="103"/>
    </row>
    <row r="588">
      <c r="B588" s="103"/>
      <c r="C588" s="103"/>
      <c r="D588" s="103"/>
      <c r="E588" s="103"/>
    </row>
    <row r="589">
      <c r="B589" s="103"/>
      <c r="C589" s="103"/>
      <c r="D589" s="103"/>
      <c r="E589" s="103"/>
    </row>
    <row r="590">
      <c r="B590" s="103"/>
      <c r="C590" s="103"/>
      <c r="D590" s="103"/>
      <c r="E590" s="103"/>
    </row>
    <row r="591">
      <c r="B591" s="103"/>
      <c r="C591" s="103"/>
      <c r="D591" s="103"/>
      <c r="E591" s="103"/>
    </row>
    <row r="592">
      <c r="B592" s="103"/>
      <c r="C592" s="103"/>
      <c r="D592" s="103"/>
      <c r="E592" s="103"/>
    </row>
    <row r="593">
      <c r="B593" s="103"/>
      <c r="C593" s="103"/>
      <c r="D593" s="103"/>
      <c r="E593" s="103"/>
    </row>
    <row r="594">
      <c r="B594" s="103"/>
      <c r="C594" s="103"/>
      <c r="D594" s="103"/>
      <c r="E594" s="103"/>
    </row>
    <row r="595">
      <c r="B595" s="103"/>
      <c r="C595" s="103"/>
      <c r="D595" s="103"/>
      <c r="E595" s="103"/>
    </row>
    <row r="596">
      <c r="B596" s="103"/>
      <c r="C596" s="103"/>
      <c r="D596" s="103"/>
      <c r="E596" s="103"/>
    </row>
    <row r="597">
      <c r="B597" s="103"/>
      <c r="C597" s="103"/>
      <c r="D597" s="103"/>
      <c r="E597" s="103"/>
    </row>
    <row r="598">
      <c r="B598" s="103"/>
      <c r="C598" s="103"/>
      <c r="D598" s="103"/>
      <c r="E598" s="103"/>
    </row>
    <row r="599">
      <c r="B599" s="103"/>
      <c r="C599" s="103"/>
      <c r="D599" s="103"/>
      <c r="E599" s="103"/>
    </row>
    <row r="600">
      <c r="B600" s="103"/>
      <c r="C600" s="103"/>
      <c r="D600" s="103"/>
      <c r="E600" s="103"/>
    </row>
    <row r="601">
      <c r="B601" s="103"/>
      <c r="C601" s="103"/>
      <c r="D601" s="103"/>
      <c r="E601" s="103"/>
    </row>
    <row r="602">
      <c r="B602" s="103"/>
      <c r="C602" s="103"/>
      <c r="D602" s="103"/>
      <c r="E602" s="103"/>
    </row>
    <row r="603">
      <c r="B603" s="103"/>
      <c r="C603" s="103"/>
      <c r="D603" s="103"/>
      <c r="E603" s="103"/>
    </row>
    <row r="604">
      <c r="B604" s="103"/>
      <c r="C604" s="103"/>
      <c r="D604" s="103"/>
      <c r="E604" s="103"/>
    </row>
    <row r="605">
      <c r="B605" s="103"/>
      <c r="C605" s="103"/>
      <c r="D605" s="103"/>
      <c r="E605" s="103"/>
    </row>
    <row r="606">
      <c r="B606" s="103"/>
      <c r="C606" s="103"/>
      <c r="D606" s="103"/>
      <c r="E606" s="103"/>
    </row>
    <row r="607">
      <c r="B607" s="103"/>
      <c r="C607" s="103"/>
      <c r="D607" s="103"/>
      <c r="E607" s="103"/>
    </row>
    <row r="608">
      <c r="B608" s="103"/>
      <c r="C608" s="103"/>
      <c r="D608" s="103"/>
      <c r="E608" s="103"/>
    </row>
    <row r="609">
      <c r="B609" s="103"/>
      <c r="C609" s="103"/>
      <c r="D609" s="103"/>
      <c r="E609" s="103"/>
    </row>
    <row r="610">
      <c r="B610" s="103"/>
      <c r="C610" s="103"/>
      <c r="D610" s="103"/>
      <c r="E610" s="103"/>
    </row>
    <row r="611">
      <c r="B611" s="103"/>
      <c r="C611" s="103"/>
      <c r="D611" s="103"/>
      <c r="E611" s="103"/>
    </row>
    <row r="612">
      <c r="B612" s="103"/>
      <c r="C612" s="103"/>
      <c r="D612" s="103"/>
      <c r="E612" s="103"/>
    </row>
    <row r="613">
      <c r="B613" s="103"/>
      <c r="C613" s="103"/>
      <c r="D613" s="103"/>
      <c r="E613" s="103"/>
    </row>
    <row r="614">
      <c r="B614" s="103"/>
      <c r="C614" s="103"/>
      <c r="D614" s="103"/>
      <c r="E614" s="103"/>
    </row>
    <row r="615">
      <c r="B615" s="103"/>
      <c r="C615" s="103"/>
      <c r="D615" s="103"/>
      <c r="E615" s="103"/>
    </row>
    <row r="616">
      <c r="B616" s="103"/>
      <c r="C616" s="103"/>
      <c r="D616" s="103"/>
      <c r="E616" s="103"/>
    </row>
    <row r="617">
      <c r="B617" s="103"/>
      <c r="C617" s="103"/>
      <c r="D617" s="103"/>
      <c r="E617" s="103"/>
    </row>
    <row r="618">
      <c r="B618" s="103"/>
      <c r="C618" s="103"/>
      <c r="D618" s="103"/>
      <c r="E618" s="103"/>
    </row>
    <row r="619">
      <c r="B619" s="103"/>
      <c r="C619" s="103"/>
      <c r="D619" s="103"/>
      <c r="E619" s="103"/>
    </row>
    <row r="620">
      <c r="B620" s="103"/>
      <c r="C620" s="103"/>
      <c r="D620" s="103"/>
      <c r="E620" s="103"/>
    </row>
    <row r="621">
      <c r="B621" s="103"/>
      <c r="C621" s="103"/>
      <c r="D621" s="103"/>
      <c r="E621" s="103"/>
    </row>
    <row r="622">
      <c r="B622" s="103"/>
      <c r="C622" s="103"/>
      <c r="D622" s="103"/>
      <c r="E622" s="103"/>
    </row>
    <row r="623">
      <c r="B623" s="103"/>
      <c r="C623" s="103"/>
      <c r="D623" s="103"/>
      <c r="E623" s="103"/>
    </row>
    <row r="624">
      <c r="B624" s="103"/>
      <c r="C624" s="103"/>
      <c r="D624" s="103"/>
      <c r="E624" s="103"/>
    </row>
    <row r="625">
      <c r="B625" s="103"/>
      <c r="C625" s="103"/>
      <c r="D625" s="103"/>
      <c r="E625" s="103"/>
    </row>
    <row r="626">
      <c r="B626" s="103"/>
      <c r="C626" s="103"/>
      <c r="D626" s="103"/>
      <c r="E626" s="103"/>
    </row>
    <row r="627">
      <c r="B627" s="103"/>
      <c r="C627" s="103"/>
      <c r="D627" s="103"/>
      <c r="E627" s="103"/>
    </row>
    <row r="628">
      <c r="B628" s="103"/>
      <c r="C628" s="103"/>
      <c r="D628" s="103"/>
      <c r="E628" s="103"/>
    </row>
    <row r="629">
      <c r="B629" s="103"/>
      <c r="C629" s="103"/>
      <c r="D629" s="103"/>
      <c r="E629" s="103"/>
    </row>
    <row r="630">
      <c r="B630" s="103"/>
      <c r="C630" s="103"/>
      <c r="D630" s="103"/>
      <c r="E630" s="103"/>
    </row>
    <row r="631">
      <c r="B631" s="103"/>
      <c r="C631" s="103"/>
      <c r="D631" s="103"/>
      <c r="E631" s="103"/>
    </row>
    <row r="632">
      <c r="B632" s="103"/>
      <c r="C632" s="103"/>
      <c r="D632" s="103"/>
      <c r="E632" s="103"/>
    </row>
    <row r="633">
      <c r="B633" s="103"/>
      <c r="C633" s="103"/>
      <c r="D633" s="103"/>
      <c r="E633" s="103"/>
    </row>
    <row r="634">
      <c r="B634" s="103"/>
      <c r="C634" s="103"/>
      <c r="D634" s="103"/>
      <c r="E634" s="103"/>
    </row>
    <row r="635">
      <c r="B635" s="103"/>
      <c r="C635" s="103"/>
      <c r="D635" s="103"/>
      <c r="E635" s="103"/>
    </row>
    <row r="636">
      <c r="B636" s="103"/>
      <c r="C636" s="103"/>
      <c r="D636" s="103"/>
      <c r="E636" s="103"/>
    </row>
    <row r="637">
      <c r="B637" s="103"/>
      <c r="C637" s="103"/>
      <c r="D637" s="103"/>
      <c r="E637" s="103"/>
    </row>
    <row r="638">
      <c r="B638" s="103"/>
      <c r="C638" s="103"/>
      <c r="D638" s="103"/>
      <c r="E638" s="103"/>
    </row>
    <row r="639">
      <c r="B639" s="103"/>
      <c r="C639" s="103"/>
      <c r="D639" s="103"/>
      <c r="E639" s="103"/>
    </row>
    <row r="640">
      <c r="B640" s="103"/>
      <c r="C640" s="103"/>
      <c r="D640" s="103"/>
      <c r="E640" s="103"/>
    </row>
    <row r="641">
      <c r="B641" s="103"/>
      <c r="C641" s="103"/>
      <c r="D641" s="103"/>
      <c r="E641" s="103"/>
    </row>
    <row r="642">
      <c r="B642" s="103"/>
      <c r="C642" s="103"/>
      <c r="D642" s="103"/>
      <c r="E642" s="103"/>
    </row>
    <row r="643">
      <c r="B643" s="103"/>
      <c r="C643" s="103"/>
      <c r="D643" s="103"/>
      <c r="E643" s="103"/>
    </row>
    <row r="644">
      <c r="B644" s="103"/>
      <c r="C644" s="103"/>
      <c r="D644" s="103"/>
      <c r="E644" s="103"/>
    </row>
    <row r="645">
      <c r="B645" s="103"/>
      <c r="C645" s="103"/>
      <c r="D645" s="103"/>
      <c r="E645" s="103"/>
    </row>
    <row r="646">
      <c r="B646" s="103"/>
      <c r="C646" s="103"/>
      <c r="D646" s="103"/>
      <c r="E646" s="103"/>
    </row>
    <row r="647">
      <c r="B647" s="103"/>
      <c r="C647" s="103"/>
      <c r="D647" s="103"/>
      <c r="E647" s="103"/>
    </row>
    <row r="648">
      <c r="B648" s="103"/>
      <c r="C648" s="103"/>
      <c r="D648" s="103"/>
      <c r="E648" s="103"/>
    </row>
    <row r="649">
      <c r="B649" s="103"/>
      <c r="C649" s="103"/>
      <c r="D649" s="103"/>
      <c r="E649" s="103"/>
    </row>
    <row r="650">
      <c r="B650" s="103"/>
      <c r="C650" s="103"/>
      <c r="D650" s="103"/>
      <c r="E650" s="103"/>
    </row>
    <row r="651">
      <c r="B651" s="103"/>
      <c r="C651" s="103"/>
      <c r="D651" s="103"/>
      <c r="E651" s="103"/>
    </row>
    <row r="652">
      <c r="B652" s="103"/>
      <c r="C652" s="103"/>
      <c r="D652" s="103"/>
      <c r="E652" s="103"/>
    </row>
    <row r="653">
      <c r="B653" s="103"/>
      <c r="C653" s="103"/>
      <c r="D653" s="103"/>
      <c r="E653" s="103"/>
    </row>
    <row r="654">
      <c r="B654" s="103"/>
      <c r="C654" s="103"/>
      <c r="D654" s="103"/>
      <c r="E654" s="103"/>
    </row>
    <row r="655">
      <c r="B655" s="103"/>
      <c r="C655" s="103"/>
      <c r="D655" s="103"/>
      <c r="E655" s="103"/>
    </row>
    <row r="656">
      <c r="B656" s="103"/>
      <c r="C656" s="103"/>
      <c r="D656" s="103"/>
      <c r="E656" s="103"/>
    </row>
    <row r="657">
      <c r="B657" s="103"/>
      <c r="C657" s="103"/>
      <c r="D657" s="103"/>
      <c r="E657" s="103"/>
    </row>
    <row r="658">
      <c r="B658" s="103"/>
      <c r="C658" s="103"/>
      <c r="D658" s="103"/>
      <c r="E658" s="103"/>
    </row>
    <row r="659">
      <c r="B659" s="103"/>
      <c r="C659" s="103"/>
      <c r="D659" s="103"/>
      <c r="E659" s="103"/>
    </row>
    <row r="660">
      <c r="B660" s="103"/>
      <c r="C660" s="103"/>
      <c r="D660" s="103"/>
      <c r="E660" s="103"/>
    </row>
    <row r="661">
      <c r="B661" s="103"/>
      <c r="C661" s="103"/>
      <c r="D661" s="103"/>
      <c r="E661" s="103"/>
    </row>
    <row r="662">
      <c r="B662" s="103"/>
      <c r="C662" s="103"/>
      <c r="D662" s="103"/>
      <c r="E662" s="103"/>
    </row>
    <row r="663">
      <c r="B663" s="103"/>
      <c r="C663" s="103"/>
      <c r="D663" s="103"/>
      <c r="E663" s="103"/>
    </row>
    <row r="664">
      <c r="B664" s="103"/>
      <c r="C664" s="103"/>
      <c r="D664" s="103"/>
      <c r="E664" s="103"/>
    </row>
    <row r="665">
      <c r="B665" s="103"/>
      <c r="C665" s="103"/>
      <c r="D665" s="103"/>
      <c r="E665" s="103"/>
    </row>
    <row r="666">
      <c r="B666" s="103"/>
      <c r="C666" s="103"/>
      <c r="D666" s="103"/>
      <c r="E666" s="103"/>
    </row>
    <row r="667">
      <c r="B667" s="103"/>
      <c r="C667" s="103"/>
      <c r="D667" s="103"/>
      <c r="E667" s="103"/>
    </row>
    <row r="668">
      <c r="B668" s="103"/>
      <c r="C668" s="103"/>
      <c r="D668" s="103"/>
      <c r="E668" s="103"/>
    </row>
    <row r="669">
      <c r="B669" s="103"/>
      <c r="C669" s="103"/>
      <c r="D669" s="103"/>
      <c r="E669" s="103"/>
    </row>
    <row r="670">
      <c r="B670" s="103"/>
      <c r="C670" s="103"/>
      <c r="D670" s="103"/>
      <c r="E670" s="103"/>
    </row>
    <row r="671">
      <c r="B671" s="103"/>
      <c r="C671" s="103"/>
      <c r="D671" s="103"/>
      <c r="E671" s="103"/>
    </row>
    <row r="672">
      <c r="B672" s="103"/>
      <c r="C672" s="103"/>
      <c r="D672" s="103"/>
      <c r="E672" s="103"/>
    </row>
    <row r="673">
      <c r="B673" s="103"/>
      <c r="C673" s="103"/>
      <c r="D673" s="103"/>
      <c r="E673" s="103"/>
    </row>
    <row r="674">
      <c r="B674" s="103"/>
      <c r="C674" s="103"/>
      <c r="D674" s="103"/>
      <c r="E674" s="103"/>
    </row>
    <row r="675">
      <c r="B675" s="103"/>
      <c r="C675" s="103"/>
      <c r="D675" s="103"/>
      <c r="E675" s="103"/>
    </row>
    <row r="676">
      <c r="B676" s="103"/>
      <c r="C676" s="103"/>
      <c r="D676" s="103"/>
      <c r="E676" s="103"/>
    </row>
    <row r="677">
      <c r="B677" s="103"/>
      <c r="C677" s="103"/>
      <c r="D677" s="103"/>
      <c r="E677" s="103"/>
    </row>
    <row r="678">
      <c r="B678" s="103"/>
      <c r="C678" s="103"/>
      <c r="D678" s="103"/>
      <c r="E678" s="103"/>
    </row>
    <row r="679">
      <c r="B679" s="103"/>
      <c r="C679" s="103"/>
      <c r="D679" s="103"/>
      <c r="E679" s="103"/>
    </row>
    <row r="680">
      <c r="B680" s="103"/>
      <c r="C680" s="103"/>
      <c r="D680" s="103"/>
      <c r="E680" s="103"/>
    </row>
    <row r="681">
      <c r="B681" s="103"/>
      <c r="C681" s="103"/>
      <c r="D681" s="103"/>
      <c r="E681" s="103"/>
    </row>
    <row r="682">
      <c r="B682" s="103"/>
      <c r="C682" s="103"/>
      <c r="D682" s="103"/>
      <c r="E682" s="103"/>
    </row>
    <row r="683">
      <c r="B683" s="103"/>
      <c r="C683" s="103"/>
      <c r="D683" s="103"/>
      <c r="E683" s="103"/>
    </row>
    <row r="684">
      <c r="B684" s="103"/>
      <c r="C684" s="103"/>
      <c r="D684" s="103"/>
      <c r="E684" s="103"/>
    </row>
    <row r="685">
      <c r="B685" s="103"/>
      <c r="C685" s="103"/>
      <c r="D685" s="103"/>
      <c r="E685" s="103"/>
    </row>
    <row r="686">
      <c r="B686" s="103"/>
      <c r="C686" s="103"/>
      <c r="D686" s="103"/>
      <c r="E686" s="103"/>
    </row>
    <row r="687">
      <c r="B687" s="103"/>
      <c r="C687" s="103"/>
      <c r="D687" s="103"/>
      <c r="E687" s="103"/>
    </row>
    <row r="688">
      <c r="B688" s="103"/>
      <c r="C688" s="103"/>
      <c r="D688" s="103"/>
      <c r="E688" s="103"/>
    </row>
    <row r="689">
      <c r="B689" s="103"/>
      <c r="C689" s="103"/>
      <c r="D689" s="103"/>
      <c r="E689" s="103"/>
    </row>
    <row r="690">
      <c r="B690" s="103"/>
      <c r="C690" s="103"/>
      <c r="D690" s="103"/>
      <c r="E690" s="103"/>
    </row>
    <row r="691">
      <c r="B691" s="103"/>
      <c r="C691" s="103"/>
      <c r="D691" s="103"/>
      <c r="E691" s="103"/>
    </row>
    <row r="692">
      <c r="B692" s="103"/>
      <c r="C692" s="103"/>
      <c r="D692" s="103"/>
      <c r="E692" s="103"/>
    </row>
    <row r="693">
      <c r="B693" s="103"/>
      <c r="C693" s="103"/>
      <c r="D693" s="103"/>
      <c r="E693" s="103"/>
    </row>
    <row r="694">
      <c r="B694" s="103"/>
      <c r="C694" s="103"/>
      <c r="D694" s="103"/>
      <c r="E694" s="103"/>
    </row>
    <row r="695">
      <c r="B695" s="103"/>
      <c r="C695" s="103"/>
      <c r="D695" s="103"/>
      <c r="E695" s="103"/>
    </row>
    <row r="696">
      <c r="B696" s="103"/>
      <c r="C696" s="103"/>
      <c r="D696" s="103"/>
      <c r="E696" s="103"/>
    </row>
    <row r="697">
      <c r="B697" s="103"/>
      <c r="C697" s="103"/>
      <c r="D697" s="103"/>
      <c r="E697" s="103"/>
    </row>
    <row r="698">
      <c r="B698" s="103"/>
      <c r="C698" s="103"/>
      <c r="D698" s="103"/>
      <c r="E698" s="103"/>
    </row>
    <row r="699">
      <c r="B699" s="103"/>
      <c r="C699" s="103"/>
      <c r="D699" s="103"/>
      <c r="E699" s="103"/>
    </row>
    <row r="700">
      <c r="B700" s="103"/>
      <c r="C700" s="103"/>
      <c r="D700" s="103"/>
      <c r="E700" s="103"/>
    </row>
    <row r="701">
      <c r="B701" s="103"/>
      <c r="C701" s="103"/>
      <c r="D701" s="103"/>
      <c r="E701" s="103"/>
    </row>
    <row r="702">
      <c r="B702" s="103"/>
      <c r="C702" s="103"/>
      <c r="D702" s="103"/>
      <c r="E702" s="103"/>
    </row>
    <row r="703">
      <c r="B703" s="103"/>
      <c r="C703" s="103"/>
      <c r="D703" s="103"/>
      <c r="E703" s="103"/>
    </row>
    <row r="704">
      <c r="B704" s="103"/>
      <c r="C704" s="103"/>
      <c r="D704" s="103"/>
      <c r="E704" s="103"/>
    </row>
    <row r="705">
      <c r="B705" s="103"/>
      <c r="C705" s="103"/>
      <c r="D705" s="103"/>
      <c r="E705" s="103"/>
    </row>
    <row r="706">
      <c r="B706" s="103"/>
      <c r="C706" s="103"/>
      <c r="D706" s="103"/>
      <c r="E706" s="103"/>
    </row>
    <row r="707">
      <c r="B707" s="103"/>
      <c r="C707" s="103"/>
      <c r="D707" s="103"/>
      <c r="E707" s="103"/>
    </row>
    <row r="708">
      <c r="B708" s="103"/>
      <c r="C708" s="103"/>
      <c r="D708" s="103"/>
      <c r="E708" s="103"/>
    </row>
    <row r="709">
      <c r="B709" s="103"/>
      <c r="C709" s="103"/>
      <c r="D709" s="103"/>
      <c r="E709" s="103"/>
    </row>
    <row r="710">
      <c r="B710" s="103"/>
      <c r="C710" s="103"/>
      <c r="D710" s="103"/>
      <c r="E710" s="103"/>
    </row>
    <row r="711">
      <c r="B711" s="103"/>
      <c r="C711" s="103"/>
      <c r="D711" s="103"/>
      <c r="E711" s="103"/>
    </row>
    <row r="712">
      <c r="B712" s="103"/>
      <c r="C712" s="103"/>
      <c r="D712" s="103"/>
      <c r="E712" s="103"/>
    </row>
    <row r="713">
      <c r="B713" s="103"/>
      <c r="C713" s="103"/>
      <c r="D713" s="103"/>
      <c r="E713" s="103"/>
    </row>
    <row r="714">
      <c r="B714" s="103"/>
      <c r="C714" s="103"/>
      <c r="D714" s="103"/>
      <c r="E714" s="103"/>
    </row>
    <row r="715">
      <c r="B715" s="103"/>
      <c r="C715" s="103"/>
      <c r="D715" s="103"/>
      <c r="E715" s="103"/>
    </row>
    <row r="716">
      <c r="B716" s="103"/>
      <c r="C716" s="103"/>
      <c r="D716" s="103"/>
      <c r="E716" s="103"/>
    </row>
    <row r="717">
      <c r="B717" s="103"/>
      <c r="C717" s="103"/>
      <c r="D717" s="103"/>
      <c r="E717" s="103"/>
    </row>
    <row r="718">
      <c r="B718" s="103"/>
      <c r="C718" s="103"/>
      <c r="D718" s="103"/>
      <c r="E718" s="103"/>
    </row>
    <row r="719">
      <c r="B719" s="103"/>
      <c r="C719" s="103"/>
      <c r="D719" s="103"/>
      <c r="E719" s="103"/>
    </row>
    <row r="720">
      <c r="B720" s="103"/>
      <c r="C720" s="103"/>
      <c r="D720" s="103"/>
      <c r="E720" s="103"/>
    </row>
    <row r="721">
      <c r="B721" s="103"/>
      <c r="C721" s="103"/>
      <c r="D721" s="103"/>
      <c r="E721" s="103"/>
    </row>
    <row r="722">
      <c r="B722" s="103"/>
      <c r="C722" s="103"/>
      <c r="D722" s="103"/>
      <c r="E722" s="103"/>
    </row>
    <row r="723">
      <c r="B723" s="103"/>
      <c r="C723" s="103"/>
      <c r="D723" s="103"/>
      <c r="E723" s="103"/>
    </row>
    <row r="724">
      <c r="B724" s="103"/>
      <c r="C724" s="103"/>
      <c r="D724" s="103"/>
      <c r="E724" s="103"/>
    </row>
    <row r="725">
      <c r="B725" s="103"/>
      <c r="C725" s="103"/>
      <c r="D725" s="103"/>
      <c r="E725" s="103"/>
    </row>
    <row r="726">
      <c r="B726" s="103"/>
      <c r="C726" s="103"/>
      <c r="D726" s="103"/>
      <c r="E726" s="103"/>
    </row>
    <row r="727">
      <c r="B727" s="103"/>
      <c r="C727" s="103"/>
      <c r="D727" s="103"/>
      <c r="E727" s="103"/>
    </row>
    <row r="728">
      <c r="B728" s="103"/>
      <c r="C728" s="103"/>
      <c r="D728" s="103"/>
      <c r="E728" s="103"/>
    </row>
    <row r="729">
      <c r="B729" s="103"/>
      <c r="C729" s="103"/>
      <c r="D729" s="103"/>
      <c r="E729" s="103"/>
    </row>
    <row r="730">
      <c r="B730" s="103"/>
      <c r="C730" s="103"/>
      <c r="D730" s="103"/>
      <c r="E730" s="103"/>
    </row>
    <row r="731">
      <c r="B731" s="103"/>
      <c r="C731" s="103"/>
      <c r="D731" s="103"/>
      <c r="E731" s="103"/>
    </row>
    <row r="732">
      <c r="B732" s="103"/>
      <c r="C732" s="103"/>
      <c r="D732" s="103"/>
      <c r="E732" s="103"/>
    </row>
    <row r="733">
      <c r="B733" s="103"/>
      <c r="C733" s="103"/>
      <c r="D733" s="103"/>
      <c r="E733" s="103"/>
    </row>
    <row r="734">
      <c r="B734" s="103"/>
      <c r="C734" s="103"/>
      <c r="D734" s="103"/>
      <c r="E734" s="103"/>
    </row>
    <row r="735">
      <c r="B735" s="103"/>
      <c r="C735" s="103"/>
      <c r="D735" s="103"/>
      <c r="E735" s="103"/>
    </row>
    <row r="736">
      <c r="B736" s="103"/>
      <c r="C736" s="103"/>
      <c r="D736" s="103"/>
      <c r="E736" s="103"/>
    </row>
    <row r="737">
      <c r="B737" s="103"/>
      <c r="C737" s="103"/>
      <c r="D737" s="103"/>
      <c r="E737" s="103"/>
    </row>
    <row r="738">
      <c r="B738" s="103"/>
      <c r="C738" s="103"/>
      <c r="D738" s="103"/>
      <c r="E738" s="103"/>
    </row>
    <row r="739">
      <c r="B739" s="103"/>
      <c r="C739" s="103"/>
      <c r="D739" s="103"/>
      <c r="E739" s="103"/>
    </row>
    <row r="740">
      <c r="B740" s="103"/>
      <c r="C740" s="103"/>
      <c r="D740" s="103"/>
      <c r="E740" s="103"/>
    </row>
    <row r="741">
      <c r="B741" s="103"/>
      <c r="C741" s="103"/>
      <c r="D741" s="103"/>
      <c r="E741" s="103"/>
    </row>
    <row r="742">
      <c r="B742" s="103"/>
      <c r="C742" s="103"/>
      <c r="D742" s="103"/>
      <c r="E742" s="103"/>
    </row>
    <row r="743">
      <c r="B743" s="103"/>
      <c r="C743" s="103"/>
      <c r="D743" s="103"/>
      <c r="E743" s="103"/>
    </row>
    <row r="744">
      <c r="B744" s="103"/>
      <c r="C744" s="103"/>
      <c r="D744" s="103"/>
      <c r="E744" s="103"/>
    </row>
    <row r="745">
      <c r="B745" s="103"/>
      <c r="C745" s="103"/>
      <c r="D745" s="103"/>
      <c r="E745" s="103"/>
    </row>
    <row r="746">
      <c r="B746" s="103"/>
      <c r="C746" s="103"/>
      <c r="D746" s="103"/>
      <c r="E746" s="103"/>
    </row>
    <row r="747">
      <c r="B747" s="103"/>
      <c r="C747" s="103"/>
      <c r="D747" s="103"/>
      <c r="E747" s="103"/>
    </row>
    <row r="748">
      <c r="B748" s="103"/>
      <c r="C748" s="103"/>
      <c r="D748" s="103"/>
      <c r="E748" s="103"/>
    </row>
    <row r="749">
      <c r="B749" s="103"/>
      <c r="C749" s="103"/>
      <c r="D749" s="103"/>
      <c r="E749" s="103"/>
    </row>
    <row r="750">
      <c r="B750" s="103"/>
      <c r="C750" s="103"/>
      <c r="D750" s="103"/>
      <c r="E750" s="103"/>
    </row>
    <row r="751">
      <c r="B751" s="103"/>
      <c r="C751" s="103"/>
      <c r="D751" s="103"/>
      <c r="E751" s="103"/>
    </row>
    <row r="752">
      <c r="B752" s="103"/>
      <c r="C752" s="103"/>
      <c r="D752" s="103"/>
      <c r="E752" s="103"/>
    </row>
    <row r="753">
      <c r="B753" s="103"/>
      <c r="C753" s="103"/>
      <c r="D753" s="103"/>
      <c r="E753" s="103"/>
    </row>
    <row r="754">
      <c r="B754" s="103"/>
      <c r="C754" s="103"/>
      <c r="D754" s="103"/>
      <c r="E754" s="103"/>
    </row>
    <row r="755">
      <c r="B755" s="103"/>
      <c r="C755" s="103"/>
      <c r="D755" s="103"/>
      <c r="E755" s="103"/>
    </row>
    <row r="756">
      <c r="B756" s="103"/>
      <c r="C756" s="103"/>
      <c r="D756" s="103"/>
      <c r="E756" s="103"/>
    </row>
    <row r="757">
      <c r="B757" s="103"/>
      <c r="C757" s="103"/>
      <c r="D757" s="103"/>
      <c r="E757" s="103"/>
    </row>
    <row r="758">
      <c r="B758" s="103"/>
      <c r="C758" s="103"/>
      <c r="D758" s="103"/>
      <c r="E758" s="103"/>
    </row>
    <row r="759">
      <c r="B759" s="103"/>
      <c r="C759" s="103"/>
      <c r="D759" s="103"/>
      <c r="E759" s="103"/>
    </row>
    <row r="760">
      <c r="B760" s="103"/>
      <c r="C760" s="103"/>
      <c r="D760" s="103"/>
      <c r="E760" s="103"/>
    </row>
    <row r="761">
      <c r="B761" s="103"/>
      <c r="C761" s="103"/>
      <c r="D761" s="103"/>
      <c r="E761" s="103"/>
    </row>
    <row r="762">
      <c r="B762" s="103"/>
      <c r="C762" s="103"/>
      <c r="D762" s="103"/>
      <c r="E762" s="103"/>
    </row>
    <row r="763">
      <c r="B763" s="103"/>
      <c r="C763" s="103"/>
      <c r="D763" s="103"/>
      <c r="E763" s="103"/>
    </row>
    <row r="764">
      <c r="B764" s="103"/>
      <c r="C764" s="103"/>
      <c r="D764" s="103"/>
      <c r="E764" s="103"/>
    </row>
    <row r="765">
      <c r="B765" s="103"/>
      <c r="C765" s="103"/>
      <c r="D765" s="103"/>
      <c r="E765" s="103"/>
    </row>
    <row r="766">
      <c r="B766" s="103"/>
      <c r="C766" s="103"/>
      <c r="D766" s="103"/>
      <c r="E766" s="103"/>
    </row>
    <row r="767">
      <c r="B767" s="103"/>
      <c r="C767" s="103"/>
      <c r="D767" s="103"/>
      <c r="E767" s="103"/>
    </row>
    <row r="768">
      <c r="B768" s="103"/>
      <c r="C768" s="103"/>
      <c r="D768" s="103"/>
      <c r="E768" s="103"/>
    </row>
    <row r="769">
      <c r="B769" s="103"/>
      <c r="C769" s="103"/>
      <c r="D769" s="103"/>
      <c r="E769" s="103"/>
    </row>
    <row r="770">
      <c r="B770" s="103"/>
      <c r="C770" s="103"/>
      <c r="D770" s="103"/>
      <c r="E770" s="103"/>
    </row>
    <row r="771">
      <c r="B771" s="103"/>
      <c r="C771" s="103"/>
      <c r="D771" s="103"/>
      <c r="E771" s="103"/>
    </row>
    <row r="772">
      <c r="B772" s="103"/>
      <c r="C772" s="103"/>
      <c r="D772" s="103"/>
      <c r="E772" s="103"/>
    </row>
    <row r="773">
      <c r="B773" s="103"/>
      <c r="C773" s="103"/>
      <c r="D773" s="103"/>
      <c r="E773" s="103"/>
    </row>
    <row r="774">
      <c r="B774" s="103"/>
      <c r="C774" s="103"/>
      <c r="D774" s="103"/>
      <c r="E774" s="103"/>
    </row>
    <row r="775">
      <c r="B775" s="103"/>
      <c r="C775" s="103"/>
      <c r="D775" s="103"/>
      <c r="E775" s="103"/>
    </row>
    <row r="776">
      <c r="B776" s="103"/>
      <c r="C776" s="103"/>
      <c r="D776" s="103"/>
      <c r="E776" s="103"/>
    </row>
    <row r="777">
      <c r="B777" s="103"/>
      <c r="C777" s="103"/>
      <c r="D777" s="103"/>
      <c r="E777" s="103"/>
    </row>
    <row r="778">
      <c r="B778" s="103"/>
      <c r="C778" s="103"/>
      <c r="D778" s="103"/>
      <c r="E778" s="103"/>
    </row>
    <row r="779">
      <c r="B779" s="103"/>
      <c r="C779" s="103"/>
      <c r="D779" s="103"/>
      <c r="E779" s="103"/>
    </row>
    <row r="780">
      <c r="B780" s="103"/>
      <c r="C780" s="103"/>
      <c r="D780" s="103"/>
      <c r="E780" s="103"/>
    </row>
    <row r="781">
      <c r="B781" s="103"/>
      <c r="C781" s="103"/>
      <c r="D781" s="103"/>
      <c r="E781" s="103"/>
    </row>
    <row r="782">
      <c r="B782" s="103"/>
      <c r="C782" s="103"/>
      <c r="D782" s="103"/>
      <c r="E782" s="103"/>
    </row>
    <row r="783">
      <c r="B783" s="103"/>
      <c r="C783" s="103"/>
      <c r="D783" s="103"/>
      <c r="E783" s="103"/>
    </row>
    <row r="784">
      <c r="B784" s="103"/>
      <c r="C784" s="103"/>
      <c r="D784" s="103"/>
      <c r="E784" s="103"/>
    </row>
    <row r="785">
      <c r="B785" s="103"/>
      <c r="C785" s="103"/>
      <c r="D785" s="103"/>
      <c r="E785" s="103"/>
    </row>
    <row r="786">
      <c r="B786" s="103"/>
      <c r="C786" s="103"/>
      <c r="D786" s="103"/>
      <c r="E786" s="103"/>
    </row>
    <row r="787">
      <c r="B787" s="103"/>
      <c r="C787" s="103"/>
      <c r="D787" s="103"/>
      <c r="E787" s="103"/>
    </row>
    <row r="788">
      <c r="B788" s="103"/>
      <c r="C788" s="103"/>
      <c r="D788" s="103"/>
      <c r="E788" s="103"/>
    </row>
    <row r="789">
      <c r="B789" s="103"/>
      <c r="C789" s="103"/>
      <c r="D789" s="103"/>
      <c r="E789" s="103"/>
    </row>
    <row r="790">
      <c r="B790" s="103"/>
      <c r="C790" s="103"/>
      <c r="D790" s="103"/>
      <c r="E790" s="103"/>
    </row>
    <row r="791">
      <c r="B791" s="103"/>
      <c r="C791" s="103"/>
      <c r="D791" s="103"/>
      <c r="E791" s="103"/>
    </row>
    <row r="792">
      <c r="B792" s="103"/>
      <c r="C792" s="103"/>
      <c r="D792" s="103"/>
      <c r="E792" s="103"/>
    </row>
    <row r="793">
      <c r="B793" s="103"/>
      <c r="C793" s="103"/>
      <c r="D793" s="103"/>
      <c r="E793" s="103"/>
    </row>
    <row r="794">
      <c r="B794" s="103"/>
      <c r="C794" s="103"/>
      <c r="D794" s="103"/>
      <c r="E794" s="103"/>
    </row>
    <row r="795">
      <c r="B795" s="103"/>
      <c r="C795" s="103"/>
      <c r="D795" s="103"/>
      <c r="E795" s="103"/>
    </row>
    <row r="796">
      <c r="B796" s="103"/>
      <c r="C796" s="103"/>
      <c r="D796" s="103"/>
      <c r="E796" s="103"/>
    </row>
    <row r="797">
      <c r="B797" s="103"/>
      <c r="C797" s="103"/>
      <c r="D797" s="103"/>
      <c r="E797" s="103"/>
    </row>
    <row r="798">
      <c r="B798" s="103"/>
      <c r="C798" s="103"/>
      <c r="D798" s="103"/>
      <c r="E798" s="103"/>
    </row>
    <row r="799">
      <c r="B799" s="103"/>
      <c r="C799" s="103"/>
      <c r="D799" s="103"/>
      <c r="E799" s="103"/>
    </row>
    <row r="800">
      <c r="B800" s="103"/>
      <c r="C800" s="103"/>
      <c r="D800" s="103"/>
      <c r="E800" s="103"/>
    </row>
    <row r="801">
      <c r="B801" s="103"/>
      <c r="C801" s="103"/>
      <c r="D801" s="103"/>
      <c r="E801" s="103"/>
    </row>
    <row r="802">
      <c r="B802" s="103"/>
      <c r="C802" s="103"/>
      <c r="D802" s="103"/>
      <c r="E802" s="103"/>
    </row>
    <row r="803">
      <c r="B803" s="103"/>
      <c r="C803" s="103"/>
      <c r="D803" s="103"/>
      <c r="E803" s="103"/>
    </row>
    <row r="804">
      <c r="B804" s="103"/>
      <c r="C804" s="103"/>
      <c r="D804" s="103"/>
      <c r="E804" s="103"/>
    </row>
    <row r="805">
      <c r="B805" s="103"/>
      <c r="C805" s="103"/>
      <c r="D805" s="103"/>
      <c r="E805" s="103"/>
    </row>
    <row r="806">
      <c r="B806" s="103"/>
      <c r="C806" s="103"/>
      <c r="D806" s="103"/>
      <c r="E806" s="103"/>
    </row>
    <row r="807">
      <c r="B807" s="103"/>
      <c r="C807" s="103"/>
      <c r="D807" s="103"/>
      <c r="E807" s="103"/>
    </row>
    <row r="808">
      <c r="B808" s="103"/>
      <c r="C808" s="103"/>
      <c r="D808" s="103"/>
      <c r="E808" s="103"/>
    </row>
    <row r="809">
      <c r="B809" s="103"/>
      <c r="C809" s="103"/>
      <c r="D809" s="103"/>
      <c r="E809" s="103"/>
    </row>
    <row r="810">
      <c r="B810" s="103"/>
      <c r="C810" s="103"/>
      <c r="D810" s="103"/>
      <c r="E810" s="103"/>
    </row>
    <row r="811">
      <c r="B811" s="103"/>
      <c r="C811" s="103"/>
      <c r="D811" s="103"/>
      <c r="E811" s="103"/>
    </row>
    <row r="812">
      <c r="B812" s="103"/>
      <c r="C812" s="103"/>
      <c r="D812" s="103"/>
      <c r="E812" s="103"/>
    </row>
    <row r="813">
      <c r="B813" s="103"/>
      <c r="C813" s="103"/>
      <c r="D813" s="103"/>
      <c r="E813" s="103"/>
    </row>
    <row r="814">
      <c r="B814" s="103"/>
      <c r="C814" s="103"/>
      <c r="D814" s="103"/>
      <c r="E814" s="103"/>
    </row>
    <row r="815">
      <c r="B815" s="103"/>
      <c r="C815" s="103"/>
      <c r="D815" s="103"/>
      <c r="E815" s="103"/>
    </row>
    <row r="816">
      <c r="B816" s="103"/>
      <c r="C816" s="103"/>
      <c r="D816" s="103"/>
      <c r="E816" s="103"/>
    </row>
    <row r="817">
      <c r="B817" s="103"/>
      <c r="C817" s="103"/>
      <c r="D817" s="103"/>
      <c r="E817" s="103"/>
    </row>
    <row r="818">
      <c r="B818" s="103"/>
      <c r="C818" s="103"/>
      <c r="D818" s="103"/>
      <c r="E818" s="103"/>
    </row>
    <row r="819">
      <c r="B819" s="103"/>
      <c r="C819" s="103"/>
      <c r="D819" s="103"/>
      <c r="E819" s="103"/>
    </row>
    <row r="820">
      <c r="B820" s="103"/>
      <c r="C820" s="103"/>
      <c r="D820" s="103"/>
      <c r="E820" s="103"/>
    </row>
    <row r="821">
      <c r="B821" s="103"/>
      <c r="C821" s="103"/>
      <c r="D821" s="103"/>
      <c r="E821" s="103"/>
    </row>
    <row r="822">
      <c r="B822" s="103"/>
      <c r="C822" s="103"/>
      <c r="D822" s="103"/>
      <c r="E822" s="103"/>
    </row>
    <row r="823">
      <c r="B823" s="103"/>
      <c r="C823" s="103"/>
      <c r="D823" s="103"/>
      <c r="E823" s="103"/>
    </row>
    <row r="824">
      <c r="B824" s="103"/>
      <c r="C824" s="103"/>
      <c r="D824" s="103"/>
      <c r="E824" s="103"/>
    </row>
    <row r="825">
      <c r="B825" s="103"/>
      <c r="C825" s="103"/>
      <c r="D825" s="103"/>
      <c r="E825" s="103"/>
    </row>
    <row r="826">
      <c r="B826" s="103"/>
      <c r="C826" s="103"/>
      <c r="D826" s="103"/>
      <c r="E826" s="103"/>
    </row>
    <row r="827">
      <c r="B827" s="103"/>
      <c r="C827" s="103"/>
      <c r="D827" s="103"/>
      <c r="E827" s="103"/>
    </row>
    <row r="828">
      <c r="B828" s="103"/>
      <c r="C828" s="103"/>
      <c r="D828" s="103"/>
      <c r="E828" s="103"/>
    </row>
    <row r="829">
      <c r="B829" s="103"/>
      <c r="C829" s="103"/>
      <c r="D829" s="103"/>
      <c r="E829" s="103"/>
    </row>
    <row r="830">
      <c r="B830" s="103"/>
      <c r="C830" s="103"/>
      <c r="D830" s="103"/>
      <c r="E830" s="103"/>
    </row>
    <row r="831">
      <c r="B831" s="103"/>
      <c r="C831" s="103"/>
      <c r="D831" s="103"/>
      <c r="E831" s="103"/>
    </row>
    <row r="832">
      <c r="B832" s="103"/>
      <c r="C832" s="103"/>
      <c r="D832" s="103"/>
      <c r="E832" s="103"/>
    </row>
    <row r="833">
      <c r="B833" s="103"/>
      <c r="C833" s="103"/>
      <c r="D833" s="103"/>
      <c r="E833" s="103"/>
    </row>
    <row r="834">
      <c r="B834" s="103"/>
      <c r="C834" s="103"/>
      <c r="D834" s="103"/>
      <c r="E834" s="103"/>
    </row>
    <row r="835">
      <c r="B835" s="103"/>
      <c r="C835" s="103"/>
      <c r="D835" s="103"/>
      <c r="E835" s="103"/>
    </row>
    <row r="836">
      <c r="B836" s="103"/>
      <c r="C836" s="103"/>
      <c r="D836" s="103"/>
      <c r="E836" s="103"/>
    </row>
    <row r="837">
      <c r="B837" s="103"/>
      <c r="C837" s="103"/>
      <c r="D837" s="103"/>
      <c r="E837" s="103"/>
    </row>
    <row r="838">
      <c r="B838" s="103"/>
      <c r="C838" s="103"/>
      <c r="D838" s="103"/>
      <c r="E838" s="103"/>
    </row>
    <row r="839">
      <c r="B839" s="103"/>
      <c r="C839" s="103"/>
      <c r="D839" s="103"/>
      <c r="E839" s="103"/>
    </row>
    <row r="840">
      <c r="B840" s="103"/>
      <c r="C840" s="103"/>
      <c r="D840" s="103"/>
      <c r="E840" s="103"/>
    </row>
    <row r="841">
      <c r="B841" s="103"/>
      <c r="C841" s="103"/>
      <c r="D841" s="103"/>
      <c r="E841" s="103"/>
    </row>
    <row r="842">
      <c r="B842" s="103"/>
      <c r="C842" s="103"/>
      <c r="D842" s="103"/>
      <c r="E842" s="103"/>
    </row>
    <row r="843">
      <c r="B843" s="103"/>
      <c r="C843" s="103"/>
      <c r="D843" s="103"/>
      <c r="E843" s="103"/>
    </row>
    <row r="844">
      <c r="B844" s="103"/>
      <c r="C844" s="103"/>
      <c r="D844" s="103"/>
      <c r="E844" s="103"/>
    </row>
    <row r="845">
      <c r="B845" s="103"/>
      <c r="C845" s="103"/>
      <c r="D845" s="103"/>
      <c r="E845" s="103"/>
    </row>
    <row r="846">
      <c r="B846" s="103"/>
      <c r="C846" s="103"/>
      <c r="D846" s="103"/>
      <c r="E846" s="103"/>
    </row>
    <row r="847">
      <c r="B847" s="103"/>
      <c r="C847" s="103"/>
      <c r="D847" s="103"/>
      <c r="E847" s="103"/>
    </row>
    <row r="848">
      <c r="B848" s="103"/>
      <c r="C848" s="103"/>
      <c r="D848" s="103"/>
      <c r="E848" s="103"/>
    </row>
    <row r="849">
      <c r="B849" s="103"/>
      <c r="C849" s="103"/>
      <c r="D849" s="103"/>
      <c r="E849" s="103"/>
    </row>
    <row r="850">
      <c r="B850" s="103"/>
      <c r="C850" s="103"/>
      <c r="D850" s="103"/>
      <c r="E850" s="103"/>
    </row>
    <row r="851">
      <c r="B851" s="103"/>
      <c r="C851" s="103"/>
      <c r="D851" s="103"/>
      <c r="E851" s="103"/>
    </row>
    <row r="852">
      <c r="B852" s="103"/>
      <c r="C852" s="103"/>
      <c r="D852" s="103"/>
      <c r="E852" s="103"/>
    </row>
    <row r="853">
      <c r="B853" s="103"/>
      <c r="C853" s="103"/>
      <c r="D853" s="103"/>
      <c r="E853" s="103"/>
    </row>
    <row r="854">
      <c r="B854" s="103"/>
      <c r="C854" s="103"/>
      <c r="D854" s="103"/>
      <c r="E854" s="103"/>
    </row>
    <row r="855">
      <c r="B855" s="103"/>
      <c r="C855" s="103"/>
      <c r="D855" s="103"/>
      <c r="E855" s="103"/>
    </row>
    <row r="856">
      <c r="B856" s="103"/>
      <c r="C856" s="103"/>
      <c r="D856" s="103"/>
      <c r="E856" s="103"/>
    </row>
    <row r="857">
      <c r="B857" s="103"/>
      <c r="C857" s="103"/>
      <c r="D857" s="103"/>
      <c r="E857" s="103"/>
    </row>
    <row r="858">
      <c r="B858" s="103"/>
      <c r="C858" s="103"/>
      <c r="D858" s="103"/>
      <c r="E858" s="103"/>
    </row>
    <row r="859">
      <c r="B859" s="103"/>
      <c r="C859" s="103"/>
      <c r="D859" s="103"/>
      <c r="E859" s="103"/>
    </row>
    <row r="860">
      <c r="B860" s="103"/>
      <c r="C860" s="103"/>
      <c r="D860" s="103"/>
      <c r="E860" s="103"/>
    </row>
    <row r="861">
      <c r="B861" s="103"/>
      <c r="C861" s="103"/>
      <c r="D861" s="103"/>
      <c r="E861" s="103"/>
    </row>
    <row r="862">
      <c r="B862" s="103"/>
      <c r="C862" s="103"/>
      <c r="D862" s="103"/>
      <c r="E862" s="103"/>
    </row>
    <row r="863">
      <c r="B863" s="103"/>
      <c r="C863" s="103"/>
      <c r="D863" s="103"/>
      <c r="E863" s="103"/>
    </row>
    <row r="864">
      <c r="B864" s="103"/>
      <c r="C864" s="103"/>
      <c r="D864" s="103"/>
      <c r="E864" s="103"/>
    </row>
    <row r="865">
      <c r="B865" s="103"/>
      <c r="C865" s="103"/>
      <c r="D865" s="103"/>
      <c r="E865" s="103"/>
    </row>
    <row r="866">
      <c r="B866" s="103"/>
      <c r="C866" s="103"/>
      <c r="D866" s="103"/>
      <c r="E866" s="103"/>
    </row>
    <row r="867">
      <c r="B867" s="103"/>
      <c r="C867" s="103"/>
      <c r="D867" s="103"/>
      <c r="E867" s="103"/>
    </row>
    <row r="868">
      <c r="B868" s="103"/>
      <c r="C868" s="103"/>
      <c r="D868" s="103"/>
      <c r="E868" s="103"/>
    </row>
    <row r="869">
      <c r="B869" s="103"/>
      <c r="C869" s="103"/>
      <c r="D869" s="103"/>
      <c r="E869" s="103"/>
    </row>
    <row r="870">
      <c r="B870" s="103"/>
      <c r="C870" s="103"/>
      <c r="D870" s="103"/>
      <c r="E870" s="103"/>
    </row>
    <row r="871">
      <c r="B871" s="103"/>
      <c r="C871" s="103"/>
      <c r="D871" s="103"/>
      <c r="E871" s="103"/>
    </row>
    <row r="872">
      <c r="B872" s="103"/>
      <c r="C872" s="103"/>
      <c r="D872" s="103"/>
      <c r="E872" s="103"/>
    </row>
    <row r="873">
      <c r="B873" s="103"/>
      <c r="C873" s="103"/>
      <c r="D873" s="103"/>
      <c r="E873" s="103"/>
    </row>
    <row r="874">
      <c r="B874" s="103"/>
      <c r="C874" s="103"/>
      <c r="D874" s="103"/>
      <c r="E874" s="103"/>
    </row>
    <row r="875">
      <c r="B875" s="103"/>
      <c r="C875" s="103"/>
      <c r="D875" s="103"/>
      <c r="E875" s="103"/>
    </row>
    <row r="876">
      <c r="B876" s="103"/>
      <c r="C876" s="103"/>
      <c r="D876" s="103"/>
      <c r="E876" s="103"/>
    </row>
    <row r="877">
      <c r="B877" s="103"/>
      <c r="C877" s="103"/>
      <c r="D877" s="103"/>
      <c r="E877" s="103"/>
    </row>
    <row r="878">
      <c r="B878" s="103"/>
      <c r="C878" s="103"/>
      <c r="D878" s="103"/>
      <c r="E878" s="103"/>
    </row>
    <row r="879">
      <c r="B879" s="103"/>
      <c r="C879" s="103"/>
      <c r="D879" s="103"/>
      <c r="E879" s="103"/>
    </row>
    <row r="880">
      <c r="B880" s="103"/>
      <c r="C880" s="103"/>
      <c r="D880" s="103"/>
      <c r="E880" s="103"/>
    </row>
    <row r="881">
      <c r="B881" s="103"/>
      <c r="C881" s="103"/>
      <c r="D881" s="103"/>
      <c r="E881" s="103"/>
    </row>
    <row r="882">
      <c r="B882" s="103"/>
      <c r="C882" s="103"/>
      <c r="D882" s="103"/>
      <c r="E882" s="103"/>
    </row>
    <row r="883">
      <c r="B883" s="103"/>
      <c r="C883" s="103"/>
      <c r="D883" s="103"/>
      <c r="E883" s="103"/>
    </row>
    <row r="884">
      <c r="B884" s="103"/>
      <c r="C884" s="103"/>
      <c r="D884" s="103"/>
      <c r="E884" s="103"/>
    </row>
    <row r="885">
      <c r="B885" s="103"/>
      <c r="C885" s="103"/>
      <c r="D885" s="103"/>
      <c r="E885" s="103"/>
    </row>
    <row r="886">
      <c r="B886" s="103"/>
      <c r="C886" s="103"/>
      <c r="D886" s="103"/>
      <c r="E886" s="103"/>
    </row>
    <row r="887">
      <c r="B887" s="103"/>
      <c r="C887" s="103"/>
      <c r="D887" s="103"/>
      <c r="E887" s="103"/>
    </row>
    <row r="888">
      <c r="B888" s="103"/>
      <c r="C888" s="103"/>
      <c r="D888" s="103"/>
      <c r="E888" s="103"/>
    </row>
    <row r="889">
      <c r="B889" s="103"/>
      <c r="C889" s="103"/>
      <c r="D889" s="103"/>
      <c r="E889" s="103"/>
    </row>
    <row r="890">
      <c r="B890" s="103"/>
      <c r="C890" s="103"/>
      <c r="D890" s="103"/>
      <c r="E890" s="103"/>
    </row>
    <row r="891">
      <c r="B891" s="103"/>
      <c r="C891" s="103"/>
      <c r="D891" s="103"/>
      <c r="E891" s="103"/>
    </row>
    <row r="892">
      <c r="B892" s="103"/>
      <c r="C892" s="103"/>
      <c r="D892" s="103"/>
      <c r="E892" s="103"/>
    </row>
    <row r="893">
      <c r="B893" s="103"/>
      <c r="C893" s="103"/>
      <c r="D893" s="103"/>
      <c r="E893" s="103"/>
    </row>
    <row r="894">
      <c r="B894" s="103"/>
      <c r="C894" s="103"/>
      <c r="D894" s="103"/>
      <c r="E894" s="103"/>
    </row>
    <row r="895">
      <c r="B895" s="103"/>
      <c r="C895" s="103"/>
      <c r="D895" s="103"/>
      <c r="E895" s="103"/>
    </row>
    <row r="896">
      <c r="B896" s="103"/>
      <c r="C896" s="103"/>
      <c r="D896" s="103"/>
      <c r="E896" s="103"/>
    </row>
    <row r="897">
      <c r="B897" s="103"/>
      <c r="C897" s="103"/>
      <c r="D897" s="103"/>
      <c r="E897" s="103"/>
    </row>
    <row r="898">
      <c r="B898" s="103"/>
      <c r="C898" s="103"/>
      <c r="D898" s="103"/>
      <c r="E898" s="103"/>
    </row>
    <row r="899">
      <c r="B899" s="103"/>
      <c r="C899" s="103"/>
      <c r="D899" s="103"/>
      <c r="E899" s="103"/>
    </row>
    <row r="900">
      <c r="B900" s="103"/>
      <c r="C900" s="103"/>
      <c r="D900" s="103"/>
      <c r="E900" s="103"/>
    </row>
    <row r="901">
      <c r="B901" s="103"/>
      <c r="C901" s="103"/>
      <c r="D901" s="103"/>
      <c r="E901" s="103"/>
    </row>
    <row r="902">
      <c r="B902" s="103"/>
      <c r="C902" s="103"/>
      <c r="D902" s="103"/>
      <c r="E902" s="103"/>
    </row>
    <row r="903">
      <c r="B903" s="103"/>
      <c r="C903" s="103"/>
      <c r="D903" s="103"/>
      <c r="E903" s="103"/>
    </row>
    <row r="904">
      <c r="B904" s="103"/>
      <c r="C904" s="103"/>
      <c r="D904" s="103"/>
      <c r="E904" s="103"/>
    </row>
    <row r="905">
      <c r="B905" s="103"/>
      <c r="C905" s="103"/>
      <c r="D905" s="103"/>
      <c r="E905" s="103"/>
    </row>
    <row r="906">
      <c r="B906" s="103"/>
      <c r="C906" s="103"/>
      <c r="D906" s="103"/>
      <c r="E906" s="103"/>
    </row>
    <row r="907">
      <c r="B907" s="103"/>
      <c r="C907" s="103"/>
      <c r="D907" s="103"/>
      <c r="E907" s="103"/>
    </row>
    <row r="908">
      <c r="B908" s="103"/>
      <c r="C908" s="103"/>
      <c r="D908" s="103"/>
      <c r="E908" s="103"/>
    </row>
    <row r="909">
      <c r="B909" s="103"/>
      <c r="C909" s="103"/>
      <c r="D909" s="103"/>
      <c r="E909" s="103"/>
    </row>
    <row r="910">
      <c r="B910" s="103"/>
      <c r="C910" s="103"/>
      <c r="D910" s="103"/>
      <c r="E910" s="103"/>
    </row>
    <row r="911">
      <c r="B911" s="103"/>
      <c r="C911" s="103"/>
      <c r="D911" s="103"/>
      <c r="E911" s="103"/>
    </row>
    <row r="912">
      <c r="B912" s="103"/>
      <c r="C912" s="103"/>
      <c r="D912" s="103"/>
      <c r="E912" s="103"/>
    </row>
    <row r="913">
      <c r="B913" s="103"/>
      <c r="C913" s="103"/>
      <c r="D913" s="103"/>
      <c r="E913" s="103"/>
    </row>
    <row r="914">
      <c r="B914" s="103"/>
      <c r="C914" s="103"/>
      <c r="D914" s="103"/>
      <c r="E914" s="103"/>
    </row>
    <row r="915">
      <c r="B915" s="103"/>
      <c r="C915" s="103"/>
      <c r="D915" s="103"/>
      <c r="E915" s="103"/>
    </row>
    <row r="916">
      <c r="B916" s="103"/>
      <c r="C916" s="103"/>
      <c r="D916" s="103"/>
      <c r="E916" s="103"/>
    </row>
    <row r="917">
      <c r="B917" s="103"/>
      <c r="C917" s="103"/>
      <c r="D917" s="103"/>
      <c r="E917" s="103"/>
    </row>
    <row r="918">
      <c r="B918" s="103"/>
      <c r="C918" s="103"/>
      <c r="D918" s="103"/>
      <c r="E918" s="103"/>
    </row>
    <row r="919">
      <c r="B919" s="103"/>
      <c r="C919" s="103"/>
      <c r="D919" s="103"/>
      <c r="E919" s="103"/>
    </row>
    <row r="920">
      <c r="B920" s="103"/>
      <c r="C920" s="103"/>
      <c r="D920" s="103"/>
      <c r="E920" s="103"/>
    </row>
    <row r="921">
      <c r="B921" s="103"/>
      <c r="C921" s="103"/>
      <c r="D921" s="103"/>
      <c r="E921" s="103"/>
    </row>
    <row r="922">
      <c r="B922" s="103"/>
      <c r="C922" s="103"/>
      <c r="D922" s="103"/>
      <c r="E922" s="103"/>
    </row>
    <row r="923">
      <c r="B923" s="103"/>
      <c r="C923" s="103"/>
      <c r="D923" s="103"/>
      <c r="E923" s="103"/>
    </row>
    <row r="924">
      <c r="B924" s="103"/>
      <c r="C924" s="103"/>
      <c r="D924" s="103"/>
      <c r="E924" s="103"/>
    </row>
    <row r="925">
      <c r="B925" s="103"/>
      <c r="C925" s="103"/>
      <c r="D925" s="103"/>
      <c r="E925" s="103"/>
    </row>
    <row r="926">
      <c r="B926" s="103"/>
      <c r="C926" s="103"/>
      <c r="D926" s="103"/>
      <c r="E926" s="103"/>
    </row>
    <row r="927">
      <c r="B927" s="103"/>
      <c r="C927" s="103"/>
      <c r="D927" s="103"/>
      <c r="E927" s="103"/>
    </row>
    <row r="928">
      <c r="B928" s="103"/>
      <c r="C928" s="103"/>
      <c r="D928" s="103"/>
      <c r="E928" s="103"/>
    </row>
    <row r="929">
      <c r="B929" s="103"/>
      <c r="C929" s="103"/>
      <c r="D929" s="103"/>
      <c r="E929" s="103"/>
    </row>
    <row r="930">
      <c r="B930" s="103"/>
      <c r="C930" s="103"/>
      <c r="D930" s="103"/>
      <c r="E930" s="103"/>
    </row>
    <row r="931">
      <c r="B931" s="103"/>
      <c r="C931" s="103"/>
      <c r="D931" s="103"/>
      <c r="E931" s="103"/>
    </row>
    <row r="932">
      <c r="B932" s="103"/>
      <c r="C932" s="103"/>
      <c r="D932" s="103"/>
      <c r="E932" s="103"/>
    </row>
    <row r="933">
      <c r="B933" s="103"/>
      <c r="C933" s="103"/>
      <c r="D933" s="103"/>
      <c r="E933" s="103"/>
    </row>
    <row r="934">
      <c r="B934" s="103"/>
      <c r="C934" s="103"/>
      <c r="D934" s="103"/>
      <c r="E934" s="103"/>
    </row>
    <row r="935">
      <c r="B935" s="103"/>
      <c r="C935" s="103"/>
      <c r="D935" s="103"/>
      <c r="E935" s="103"/>
    </row>
    <row r="936">
      <c r="B936" s="103"/>
      <c r="C936" s="103"/>
      <c r="D936" s="103"/>
      <c r="E936" s="103"/>
    </row>
    <row r="937">
      <c r="B937" s="103"/>
      <c r="C937" s="103"/>
      <c r="D937" s="103"/>
      <c r="E937" s="103"/>
    </row>
    <row r="938">
      <c r="B938" s="103"/>
      <c r="C938" s="103"/>
      <c r="D938" s="103"/>
      <c r="E938" s="103"/>
    </row>
    <row r="939">
      <c r="B939" s="103"/>
      <c r="C939" s="103"/>
      <c r="D939" s="103"/>
      <c r="E939" s="103"/>
    </row>
    <row r="940">
      <c r="B940" s="103"/>
      <c r="C940" s="103"/>
      <c r="D940" s="103"/>
      <c r="E940" s="103"/>
    </row>
    <row r="941">
      <c r="B941" s="103"/>
      <c r="C941" s="103"/>
      <c r="D941" s="103"/>
      <c r="E941" s="103"/>
    </row>
    <row r="942">
      <c r="B942" s="103"/>
      <c r="C942" s="103"/>
      <c r="D942" s="103"/>
      <c r="E942" s="103"/>
    </row>
    <row r="943">
      <c r="B943" s="103"/>
      <c r="C943" s="103"/>
      <c r="D943" s="103"/>
      <c r="E943" s="103"/>
    </row>
    <row r="944">
      <c r="B944" s="103"/>
      <c r="C944" s="103"/>
      <c r="D944" s="103"/>
      <c r="E944" s="103"/>
    </row>
    <row r="945">
      <c r="B945" s="103"/>
      <c r="C945" s="103"/>
      <c r="D945" s="103"/>
      <c r="E945" s="103"/>
    </row>
    <row r="946">
      <c r="B946" s="103"/>
      <c r="C946" s="103"/>
      <c r="D946" s="103"/>
      <c r="E946" s="103"/>
    </row>
    <row r="947">
      <c r="B947" s="103"/>
      <c r="C947" s="103"/>
      <c r="D947" s="103"/>
      <c r="E947" s="103"/>
    </row>
    <row r="948">
      <c r="B948" s="103"/>
      <c r="C948" s="103"/>
      <c r="D948" s="103"/>
      <c r="E948" s="103"/>
    </row>
    <row r="949">
      <c r="B949" s="103"/>
      <c r="C949" s="103"/>
      <c r="D949" s="103"/>
      <c r="E949" s="103"/>
    </row>
    <row r="950">
      <c r="B950" s="103"/>
      <c r="C950" s="103"/>
      <c r="D950" s="103"/>
      <c r="E950" s="103"/>
    </row>
    <row r="951">
      <c r="B951" s="103"/>
      <c r="C951" s="103"/>
      <c r="D951" s="103"/>
      <c r="E951" s="103"/>
    </row>
    <row r="952">
      <c r="B952" s="103"/>
      <c r="C952" s="103"/>
      <c r="D952" s="103"/>
      <c r="E952" s="103"/>
    </row>
    <row r="953">
      <c r="B953" s="103"/>
      <c r="C953" s="103"/>
      <c r="D953" s="103"/>
      <c r="E953" s="103"/>
    </row>
    <row r="954">
      <c r="B954" s="103"/>
      <c r="C954" s="103"/>
      <c r="D954" s="103"/>
      <c r="E954" s="103"/>
    </row>
    <row r="955">
      <c r="B955" s="103"/>
      <c r="C955" s="103"/>
      <c r="D955" s="103"/>
      <c r="E955" s="103"/>
    </row>
    <row r="956">
      <c r="B956" s="103"/>
      <c r="C956" s="103"/>
      <c r="D956" s="103"/>
      <c r="E956" s="103"/>
    </row>
    <row r="957">
      <c r="B957" s="103"/>
      <c r="C957" s="103"/>
      <c r="D957" s="103"/>
      <c r="E957" s="103"/>
    </row>
    <row r="958">
      <c r="B958" s="103"/>
      <c r="C958" s="103"/>
      <c r="D958" s="103"/>
      <c r="E958" s="103"/>
    </row>
    <row r="959">
      <c r="B959" s="103"/>
      <c r="C959" s="103"/>
      <c r="D959" s="103"/>
      <c r="E959" s="103"/>
    </row>
    <row r="960">
      <c r="B960" s="103"/>
      <c r="C960" s="103"/>
      <c r="D960" s="103"/>
      <c r="E960" s="103"/>
    </row>
    <row r="961">
      <c r="B961" s="103"/>
      <c r="C961" s="103"/>
      <c r="D961" s="103"/>
      <c r="E961" s="103"/>
    </row>
    <row r="962">
      <c r="B962" s="103"/>
      <c r="C962" s="103"/>
      <c r="D962" s="103"/>
      <c r="E962" s="103"/>
    </row>
    <row r="963">
      <c r="B963" s="103"/>
      <c r="C963" s="103"/>
      <c r="D963" s="103"/>
      <c r="E963" s="103"/>
    </row>
    <row r="964">
      <c r="B964" s="103"/>
      <c r="C964" s="103"/>
      <c r="D964" s="103"/>
      <c r="E964" s="103"/>
    </row>
    <row r="965">
      <c r="B965" s="103"/>
      <c r="C965" s="103"/>
      <c r="D965" s="103"/>
      <c r="E965" s="103"/>
    </row>
    <row r="966">
      <c r="B966" s="103"/>
      <c r="C966" s="103"/>
      <c r="D966" s="103"/>
      <c r="E966" s="103"/>
    </row>
    <row r="967">
      <c r="B967" s="103"/>
      <c r="C967" s="103"/>
      <c r="D967" s="103"/>
      <c r="E967" s="103"/>
    </row>
    <row r="968">
      <c r="B968" s="103"/>
      <c r="C968" s="103"/>
      <c r="D968" s="103"/>
      <c r="E968" s="103"/>
    </row>
    <row r="969">
      <c r="B969" s="103"/>
      <c r="C969" s="103"/>
      <c r="D969" s="103"/>
      <c r="E969" s="103"/>
    </row>
    <row r="970">
      <c r="B970" s="103"/>
      <c r="C970" s="103"/>
      <c r="D970" s="103"/>
      <c r="E970" s="103"/>
    </row>
    <row r="971">
      <c r="B971" s="103"/>
      <c r="C971" s="103"/>
      <c r="D971" s="103"/>
      <c r="E971" s="103"/>
    </row>
    <row r="972">
      <c r="B972" s="103"/>
      <c r="C972" s="103"/>
      <c r="D972" s="103"/>
      <c r="E972" s="103"/>
    </row>
    <row r="973">
      <c r="B973" s="103"/>
      <c r="C973" s="103"/>
      <c r="D973" s="103"/>
      <c r="E973" s="103"/>
    </row>
    <row r="974">
      <c r="B974" s="103"/>
      <c r="C974" s="103"/>
      <c r="D974" s="103"/>
      <c r="E974" s="103"/>
    </row>
    <row r="975">
      <c r="B975" s="103"/>
      <c r="C975" s="103"/>
      <c r="D975" s="103"/>
      <c r="E975" s="103"/>
    </row>
    <row r="976">
      <c r="B976" s="103"/>
      <c r="C976" s="103"/>
      <c r="D976" s="103"/>
      <c r="E976" s="103"/>
    </row>
    <row r="977">
      <c r="B977" s="103"/>
      <c r="C977" s="103"/>
      <c r="D977" s="103"/>
      <c r="E977" s="103"/>
    </row>
    <row r="978">
      <c r="B978" s="103"/>
      <c r="C978" s="103"/>
      <c r="D978" s="103"/>
      <c r="E978" s="103"/>
    </row>
    <row r="979">
      <c r="B979" s="103"/>
      <c r="C979" s="103"/>
      <c r="D979" s="103"/>
      <c r="E979" s="103"/>
    </row>
    <row r="980">
      <c r="B980" s="103"/>
      <c r="C980" s="103"/>
      <c r="D980" s="103"/>
      <c r="E980" s="103"/>
    </row>
    <row r="981">
      <c r="B981" s="103"/>
      <c r="C981" s="103"/>
      <c r="D981" s="103"/>
      <c r="E981" s="103"/>
    </row>
    <row r="982">
      <c r="B982" s="103"/>
      <c r="C982" s="103"/>
      <c r="D982" s="103"/>
      <c r="E982" s="103"/>
    </row>
    <row r="983">
      <c r="B983" s="103"/>
      <c r="C983" s="103"/>
      <c r="D983" s="103"/>
      <c r="E983" s="103"/>
    </row>
    <row r="984">
      <c r="B984" s="103"/>
      <c r="C984" s="103"/>
      <c r="D984" s="103"/>
      <c r="E984" s="103"/>
    </row>
    <row r="985">
      <c r="B985" s="103"/>
      <c r="C985" s="103"/>
      <c r="D985" s="103"/>
      <c r="E985" s="103"/>
    </row>
    <row r="986">
      <c r="B986" s="103"/>
      <c r="C986" s="103"/>
      <c r="D986" s="103"/>
      <c r="E986" s="103"/>
    </row>
    <row r="987">
      <c r="B987" s="103"/>
      <c r="C987" s="103"/>
      <c r="D987" s="103"/>
      <c r="E987" s="103"/>
    </row>
    <row r="988">
      <c r="B988" s="103"/>
      <c r="C988" s="103"/>
      <c r="D988" s="103"/>
      <c r="E988" s="103"/>
    </row>
    <row r="989">
      <c r="B989" s="103"/>
      <c r="C989" s="103"/>
      <c r="D989" s="103"/>
      <c r="E989" s="103"/>
    </row>
    <row r="990">
      <c r="B990" s="103"/>
      <c r="C990" s="103"/>
      <c r="D990" s="103"/>
      <c r="E990" s="103"/>
    </row>
    <row r="991">
      <c r="B991" s="103"/>
      <c r="C991" s="103"/>
      <c r="D991" s="103"/>
      <c r="E991" s="103"/>
    </row>
    <row r="992">
      <c r="B992" s="103"/>
      <c r="C992" s="103"/>
      <c r="D992" s="103"/>
      <c r="E992" s="103"/>
    </row>
    <row r="993">
      <c r="B993" s="103"/>
      <c r="C993" s="103"/>
      <c r="D993" s="103"/>
      <c r="E993" s="103"/>
    </row>
    <row r="994">
      <c r="B994" s="103"/>
      <c r="C994" s="103"/>
      <c r="D994" s="103"/>
      <c r="E994" s="103"/>
    </row>
    <row r="995">
      <c r="B995" s="103"/>
      <c r="C995" s="103"/>
      <c r="D995" s="103"/>
      <c r="E995" s="103"/>
    </row>
    <row r="996">
      <c r="B996" s="103"/>
      <c r="C996" s="103"/>
      <c r="D996" s="103"/>
      <c r="E996" s="103"/>
    </row>
    <row r="997">
      <c r="B997" s="103"/>
      <c r="C997" s="103"/>
      <c r="D997" s="103"/>
      <c r="E997" s="103"/>
    </row>
    <row r="998">
      <c r="B998" s="103"/>
      <c r="C998" s="103"/>
      <c r="D998" s="103"/>
      <c r="E998" s="103"/>
    </row>
    <row r="999">
      <c r="B999" s="103"/>
      <c r="C999" s="103"/>
      <c r="D999" s="103"/>
      <c r="E999" s="103"/>
    </row>
    <row r="1000">
      <c r="B1000" s="103"/>
      <c r="C1000" s="103"/>
      <c r="D1000" s="103"/>
      <c r="E1000" s="103"/>
    </row>
    <row r="1001">
      <c r="B1001" s="103"/>
      <c r="C1001" s="103"/>
      <c r="D1001" s="103"/>
      <c r="E1001" s="103"/>
    </row>
    <row r="1002">
      <c r="B1002" s="103"/>
      <c r="C1002" s="103"/>
      <c r="D1002" s="103"/>
      <c r="E1002" s="103"/>
    </row>
    <row r="1003">
      <c r="B1003" s="103"/>
      <c r="C1003" s="103"/>
      <c r="D1003" s="103"/>
      <c r="E1003" s="103"/>
    </row>
    <row r="1004">
      <c r="B1004" s="103"/>
      <c r="C1004" s="103"/>
      <c r="D1004" s="103"/>
      <c r="E1004" s="103"/>
    </row>
    <row r="1005">
      <c r="B1005" s="103"/>
      <c r="C1005" s="103"/>
      <c r="D1005" s="103"/>
      <c r="E1005" s="103"/>
    </row>
    <row r="1006">
      <c r="B1006" s="103"/>
      <c r="C1006" s="103"/>
      <c r="D1006" s="103"/>
      <c r="E1006" s="103"/>
    </row>
    <row r="1007">
      <c r="B1007" s="103"/>
      <c r="C1007" s="103"/>
      <c r="D1007" s="103"/>
      <c r="E1007" s="103"/>
    </row>
    <row r="1008">
      <c r="B1008" s="103"/>
      <c r="C1008" s="103"/>
      <c r="D1008" s="103"/>
      <c r="E1008" s="103"/>
    </row>
    <row r="1009">
      <c r="B1009" s="103"/>
      <c r="C1009" s="103"/>
      <c r="D1009" s="103"/>
      <c r="E1009" s="103"/>
    </row>
    <row r="1010">
      <c r="B1010" s="103"/>
      <c r="C1010" s="103"/>
      <c r="D1010" s="103"/>
      <c r="E1010" s="103"/>
    </row>
    <row r="1011">
      <c r="B1011" s="103"/>
      <c r="C1011" s="103"/>
      <c r="D1011" s="103"/>
      <c r="E1011" s="103"/>
    </row>
    <row r="1012">
      <c r="B1012" s="103"/>
      <c r="C1012" s="103"/>
      <c r="D1012" s="103"/>
      <c r="E1012" s="103"/>
    </row>
    <row r="1013">
      <c r="B1013" s="103"/>
      <c r="C1013" s="103"/>
      <c r="D1013" s="103"/>
      <c r="E1013" s="103"/>
    </row>
  </sheetData>
  <autoFilter ref="$A$1:$V$87"/>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9.38"/>
    <col customWidth="1" min="2" max="2" width="8.0"/>
    <col customWidth="1" min="3" max="3" width="10.0"/>
    <col customWidth="1" min="4" max="4" width="9.13"/>
    <col customWidth="1" min="5" max="5" width="10.75"/>
    <col customWidth="1" min="6" max="6" width="9.0"/>
    <col customWidth="1" min="7" max="7" width="7.25"/>
    <col customWidth="1" min="8" max="8" width="7.88"/>
    <col customWidth="1" min="9" max="9" width="6.13"/>
    <col customWidth="1" min="10" max="10" width="9.13"/>
    <col customWidth="1" min="11" max="11" width="8.88"/>
    <col customWidth="1" min="12" max="12" width="3.75"/>
    <col customWidth="1" min="13" max="13" width="7.25"/>
    <col customWidth="1" min="14" max="14" width="9.5"/>
    <col customWidth="1" min="15" max="15" width="6.0"/>
    <col customWidth="1" min="16" max="16" width="9.75"/>
    <col customWidth="1" min="17" max="17" width="8.63"/>
    <col customWidth="1" min="18" max="18" width="15.13"/>
    <col customWidth="1" min="19" max="19" width="9.5"/>
    <col customWidth="1" min="20" max="20" width="7.75"/>
    <col customWidth="1" min="21" max="21" width="7.13"/>
    <col customWidth="1" min="22" max="22" width="8.63"/>
    <col customWidth="1" min="23" max="23" width="8.0"/>
  </cols>
  <sheetData>
    <row r="1">
      <c r="A1" s="121"/>
      <c r="B1" s="121"/>
      <c r="C1" s="122" t="s">
        <v>192</v>
      </c>
      <c r="D1" s="123" t="s">
        <v>193</v>
      </c>
      <c r="F1" s="122" t="s">
        <v>194</v>
      </c>
      <c r="G1" s="122" t="s">
        <v>195</v>
      </c>
      <c r="H1" s="121"/>
      <c r="I1" s="121"/>
      <c r="J1" s="121"/>
      <c r="K1" s="121"/>
      <c r="L1" s="121"/>
      <c r="M1" s="121"/>
      <c r="N1" s="121"/>
      <c r="O1" s="121"/>
      <c r="P1" s="121"/>
      <c r="Q1" s="124">
        <f>sum(Q3:Q77)</f>
        <v>7003.14</v>
      </c>
      <c r="R1" s="121"/>
      <c r="S1" s="125"/>
      <c r="T1" s="125"/>
      <c r="U1" s="125"/>
      <c r="V1" s="125"/>
      <c r="W1" s="125"/>
      <c r="X1" s="16" t="s">
        <v>196</v>
      </c>
    </row>
    <row r="2">
      <c r="A2" s="95" t="s">
        <v>93</v>
      </c>
      <c r="B2" s="95" t="s">
        <v>94</v>
      </c>
      <c r="C2" s="126" t="s">
        <v>105</v>
      </c>
      <c r="D2" s="126" t="s">
        <v>103</v>
      </c>
      <c r="E2" s="127" t="s">
        <v>104</v>
      </c>
      <c r="F2" s="127" t="s">
        <v>197</v>
      </c>
      <c r="G2" s="127" t="s">
        <v>198</v>
      </c>
      <c r="H2" s="95" t="s">
        <v>95</v>
      </c>
      <c r="I2" s="95" t="s">
        <v>96</v>
      </c>
      <c r="J2" s="95" t="s">
        <v>97</v>
      </c>
      <c r="K2" s="95" t="s">
        <v>98</v>
      </c>
      <c r="L2" s="95" t="s">
        <v>32</v>
      </c>
      <c r="M2" s="95" t="s">
        <v>55</v>
      </c>
      <c r="N2" s="95" t="s">
        <v>99</v>
      </c>
      <c r="O2" s="96" t="s">
        <v>100</v>
      </c>
      <c r="P2" s="95" t="s">
        <v>101</v>
      </c>
      <c r="Q2" s="95" t="s">
        <v>102</v>
      </c>
      <c r="R2" s="95" t="s">
        <v>56</v>
      </c>
      <c r="S2" s="128" t="s">
        <v>108</v>
      </c>
      <c r="T2" s="128" t="s">
        <v>106</v>
      </c>
      <c r="U2" s="128" t="s">
        <v>109</v>
      </c>
      <c r="V2" s="128" t="s">
        <v>107</v>
      </c>
      <c r="W2" s="128" t="s">
        <v>110</v>
      </c>
    </row>
    <row r="3">
      <c r="A3" s="15">
        <v>44930.0</v>
      </c>
      <c r="B3" s="97" t="s">
        <v>58</v>
      </c>
      <c r="C3" s="102">
        <v>0.22</v>
      </c>
      <c r="D3" s="102">
        <v>0.82</v>
      </c>
      <c r="E3" s="102">
        <v>0.83</v>
      </c>
      <c r="F3" s="97" t="s">
        <v>199</v>
      </c>
      <c r="G3" s="16">
        <v>0.1</v>
      </c>
      <c r="H3" s="16" t="s">
        <v>112</v>
      </c>
      <c r="I3" s="97" t="s">
        <v>113</v>
      </c>
      <c r="J3" s="97" t="s">
        <v>200</v>
      </c>
      <c r="K3" s="98">
        <v>15.0</v>
      </c>
      <c r="L3" s="16">
        <v>4.0</v>
      </c>
      <c r="M3" s="16">
        <v>404.0</v>
      </c>
      <c r="N3" s="16">
        <v>0.43</v>
      </c>
      <c r="O3" s="34">
        <f t="shared" ref="O3:O7" si="1">M3-N3</f>
        <v>403.57</v>
      </c>
      <c r="P3" s="16">
        <v>-210.75</v>
      </c>
      <c r="Q3" s="129">
        <f t="shared" ref="Q3:Q7" si="2">sum(O3:P3)</f>
        <v>192.82</v>
      </c>
      <c r="R3" s="16" t="s">
        <v>201</v>
      </c>
      <c r="S3" s="102">
        <v>0.71</v>
      </c>
      <c r="T3" s="102">
        <v>0.63</v>
      </c>
      <c r="U3" s="98" t="s">
        <v>202</v>
      </c>
      <c r="V3" s="98" t="s">
        <v>125</v>
      </c>
      <c r="W3" s="97" t="s">
        <v>203</v>
      </c>
    </row>
    <row r="4">
      <c r="A4" s="20">
        <v>44923.0</v>
      </c>
      <c r="B4" s="97" t="s">
        <v>204</v>
      </c>
      <c r="C4" s="102">
        <v>0.215</v>
      </c>
      <c r="D4" s="102">
        <v>0.206</v>
      </c>
      <c r="E4" s="102">
        <v>0.198</v>
      </c>
      <c r="F4" s="97" t="s">
        <v>199</v>
      </c>
      <c r="G4" s="16">
        <v>0.03</v>
      </c>
      <c r="H4" s="97" t="s">
        <v>163</v>
      </c>
      <c r="I4" s="97" t="s">
        <v>113</v>
      </c>
      <c r="J4" s="97" t="s">
        <v>200</v>
      </c>
      <c r="K4" s="98" t="s">
        <v>205</v>
      </c>
      <c r="L4" s="16">
        <v>10.0</v>
      </c>
      <c r="M4" s="16">
        <v>530.0</v>
      </c>
      <c r="N4" s="16">
        <v>23.67</v>
      </c>
      <c r="O4" s="34">
        <f t="shared" si="1"/>
        <v>506.33</v>
      </c>
      <c r="P4" s="16">
        <f>-127+107-1134+954-23.61</f>
        <v>-223.61</v>
      </c>
      <c r="Q4" s="129">
        <f t="shared" si="2"/>
        <v>282.72</v>
      </c>
      <c r="R4" s="16" t="s">
        <v>206</v>
      </c>
      <c r="S4" s="102">
        <v>0.83</v>
      </c>
      <c r="T4" s="102">
        <v>0.82</v>
      </c>
      <c r="U4" s="16">
        <v>2487.0</v>
      </c>
      <c r="V4" s="102">
        <v>0.15</v>
      </c>
      <c r="W4" s="61">
        <f t="shared" ref="W4:W7" si="3">Q4/U4</f>
        <v>0.1136791315</v>
      </c>
    </row>
    <row r="5">
      <c r="A5" s="20">
        <v>44923.0</v>
      </c>
      <c r="B5" s="97" t="s">
        <v>54</v>
      </c>
      <c r="C5" s="102">
        <v>0.2186</v>
      </c>
      <c r="D5" s="102">
        <v>0.341</v>
      </c>
      <c r="E5" s="102">
        <v>0.3343</v>
      </c>
      <c r="F5" s="97" t="s">
        <v>199</v>
      </c>
      <c r="G5" s="16">
        <v>0.01</v>
      </c>
      <c r="H5" s="97" t="s">
        <v>163</v>
      </c>
      <c r="I5" s="97" t="s">
        <v>113</v>
      </c>
      <c r="J5" s="97" t="s">
        <v>187</v>
      </c>
      <c r="K5" s="98" t="s">
        <v>207</v>
      </c>
      <c r="L5" s="16">
        <v>10.0</v>
      </c>
      <c r="M5" s="16">
        <v>300.0</v>
      </c>
      <c r="N5" s="16">
        <v>10.79</v>
      </c>
      <c r="O5" s="34">
        <f t="shared" si="1"/>
        <v>289.21</v>
      </c>
      <c r="P5" s="16">
        <v>-35.77</v>
      </c>
      <c r="Q5" s="129">
        <f t="shared" si="2"/>
        <v>253.44</v>
      </c>
      <c r="R5" s="16" t="s">
        <v>208</v>
      </c>
      <c r="S5" s="102">
        <v>0.83</v>
      </c>
      <c r="T5" s="102">
        <v>0.82</v>
      </c>
      <c r="U5" s="16">
        <v>1719.0</v>
      </c>
      <c r="V5" s="102">
        <v>0.11</v>
      </c>
      <c r="W5" s="61">
        <f t="shared" si="3"/>
        <v>0.147434555</v>
      </c>
    </row>
    <row r="6">
      <c r="A6" s="15">
        <v>44931.0</v>
      </c>
      <c r="B6" s="97" t="s">
        <v>58</v>
      </c>
      <c r="C6" s="102">
        <v>0.22</v>
      </c>
      <c r="D6" s="102">
        <v>0.874</v>
      </c>
      <c r="E6" s="102">
        <v>0.848</v>
      </c>
      <c r="F6" s="97" t="s">
        <v>199</v>
      </c>
      <c r="G6" s="16">
        <v>0.1</v>
      </c>
      <c r="H6" s="16" t="s">
        <v>163</v>
      </c>
      <c r="I6" s="97" t="s">
        <v>113</v>
      </c>
      <c r="J6" s="97" t="s">
        <v>200</v>
      </c>
      <c r="K6" s="98" t="s">
        <v>209</v>
      </c>
      <c r="L6" s="16">
        <v>10.0</v>
      </c>
      <c r="M6" s="16">
        <v>440.0</v>
      </c>
      <c r="N6" s="16">
        <v>13.8</v>
      </c>
      <c r="O6" s="34">
        <f t="shared" si="1"/>
        <v>426.2</v>
      </c>
      <c r="P6" s="16">
        <v>-142.71</v>
      </c>
      <c r="Q6" s="129">
        <f t="shared" si="2"/>
        <v>283.49</v>
      </c>
      <c r="R6" s="16" t="s">
        <v>210</v>
      </c>
      <c r="S6" s="102">
        <v>0.77</v>
      </c>
      <c r="T6" s="102">
        <v>0.73</v>
      </c>
      <c r="U6" s="16">
        <v>2148.0</v>
      </c>
      <c r="V6" s="107">
        <v>0.058</v>
      </c>
      <c r="W6" s="61">
        <f t="shared" si="3"/>
        <v>0.1319785847</v>
      </c>
    </row>
    <row r="7">
      <c r="A7" s="15">
        <v>44938.0</v>
      </c>
      <c r="B7" s="97" t="s">
        <v>54</v>
      </c>
      <c r="C7" s="102">
        <v>0.2</v>
      </c>
      <c r="D7" s="102">
        <v>0.376</v>
      </c>
      <c r="E7" s="102">
        <v>0.341</v>
      </c>
      <c r="F7" s="97" t="s">
        <v>211</v>
      </c>
      <c r="G7" s="16">
        <v>0.05</v>
      </c>
      <c r="H7" s="16" t="s">
        <v>163</v>
      </c>
      <c r="I7" s="97" t="s">
        <v>113</v>
      </c>
      <c r="J7" s="97" t="s">
        <v>200</v>
      </c>
      <c r="K7" s="98" t="s">
        <v>212</v>
      </c>
      <c r="L7" s="16">
        <v>10.0</v>
      </c>
      <c r="M7" s="16">
        <v>500.0</v>
      </c>
      <c r="N7" s="16">
        <v>23.61</v>
      </c>
      <c r="O7" s="34">
        <f t="shared" si="1"/>
        <v>476.39</v>
      </c>
      <c r="P7" s="16">
        <v>-128.79</v>
      </c>
      <c r="Q7" s="129">
        <f t="shared" si="2"/>
        <v>347.6</v>
      </c>
      <c r="R7" s="16" t="s">
        <v>213</v>
      </c>
      <c r="S7" s="102">
        <v>0.88</v>
      </c>
      <c r="T7" s="102">
        <v>0.87</v>
      </c>
      <c r="U7" s="16">
        <v>4518.0</v>
      </c>
      <c r="V7" s="53">
        <v>0.045</v>
      </c>
      <c r="W7" s="61">
        <f t="shared" si="3"/>
        <v>0.07693669765</v>
      </c>
    </row>
    <row r="8">
      <c r="A8" s="15"/>
      <c r="B8" s="97"/>
      <c r="C8" s="102"/>
      <c r="D8" s="102"/>
      <c r="E8" s="102"/>
      <c r="F8" s="97"/>
      <c r="G8" s="16"/>
      <c r="H8" s="16"/>
      <c r="I8" s="97"/>
      <c r="J8" s="97"/>
      <c r="K8" s="98"/>
      <c r="L8" s="16"/>
      <c r="M8" s="16"/>
      <c r="N8" s="16"/>
      <c r="O8" s="34"/>
      <c r="Q8" s="130"/>
      <c r="S8" s="102"/>
      <c r="T8" s="102"/>
      <c r="U8" s="98"/>
      <c r="V8" s="98"/>
      <c r="W8" s="97"/>
    </row>
    <row r="9">
      <c r="A9" s="15">
        <v>44938.0</v>
      </c>
      <c r="B9" s="97" t="s">
        <v>204</v>
      </c>
      <c r="C9" s="102">
        <v>0.2</v>
      </c>
      <c r="D9" s="102">
        <v>0.18</v>
      </c>
      <c r="E9" s="102">
        <v>0.2</v>
      </c>
      <c r="F9" s="97" t="s">
        <v>199</v>
      </c>
      <c r="G9" s="16">
        <v>0.03</v>
      </c>
      <c r="H9" s="16" t="s">
        <v>163</v>
      </c>
      <c r="I9" s="97" t="s">
        <v>113</v>
      </c>
      <c r="J9" s="97" t="s">
        <v>200</v>
      </c>
      <c r="K9" s="98" t="s">
        <v>214</v>
      </c>
      <c r="L9" s="16">
        <v>10.0</v>
      </c>
      <c r="M9" s="16">
        <v>420.0</v>
      </c>
      <c r="N9" s="16">
        <v>8.85</v>
      </c>
      <c r="O9" s="34">
        <f t="shared" ref="O9:O13" si="4">M9-N9</f>
        <v>411.15</v>
      </c>
      <c r="P9" s="16">
        <v>-148.8</v>
      </c>
      <c r="Q9" s="129">
        <f t="shared" ref="Q9:Q13" si="5">sum(O9:P9)</f>
        <v>262.35</v>
      </c>
      <c r="R9" s="16" t="s">
        <v>215</v>
      </c>
      <c r="S9" s="102">
        <v>0.85</v>
      </c>
      <c r="T9" s="102">
        <v>0.85</v>
      </c>
      <c r="U9" s="16">
        <v>2578.0</v>
      </c>
      <c r="V9" s="102">
        <v>0.12</v>
      </c>
      <c r="W9" s="61">
        <f>Q9/U9</f>
        <v>0.1017649341</v>
      </c>
    </row>
    <row r="10">
      <c r="A10" s="15">
        <v>44931.0</v>
      </c>
      <c r="B10" s="97" t="s">
        <v>59</v>
      </c>
      <c r="C10" s="102">
        <v>0.224</v>
      </c>
      <c r="D10" s="102">
        <v>0.683</v>
      </c>
      <c r="E10" s="102">
        <v>0.513</v>
      </c>
      <c r="F10" s="97" t="s">
        <v>199</v>
      </c>
      <c r="G10" s="16">
        <v>0.6</v>
      </c>
      <c r="H10" s="16" t="s">
        <v>112</v>
      </c>
      <c r="I10" s="97" t="s">
        <v>113</v>
      </c>
      <c r="J10" s="97" t="s">
        <v>200</v>
      </c>
      <c r="K10" s="98">
        <v>130.0</v>
      </c>
      <c r="L10" s="16">
        <v>1.0</v>
      </c>
      <c r="M10" s="16">
        <v>340.0</v>
      </c>
      <c r="N10" s="16">
        <v>0.19</v>
      </c>
      <c r="O10" s="34">
        <f t="shared" si="4"/>
        <v>339.81</v>
      </c>
      <c r="Q10" s="129">
        <f t="shared" si="5"/>
        <v>339.81</v>
      </c>
      <c r="R10" s="16" t="s">
        <v>216</v>
      </c>
      <c r="S10" s="102">
        <v>0.79</v>
      </c>
      <c r="T10" s="102">
        <v>0.76</v>
      </c>
      <c r="U10" s="98" t="s">
        <v>202</v>
      </c>
      <c r="V10" s="98" t="s">
        <v>125</v>
      </c>
      <c r="W10" s="97" t="s">
        <v>203</v>
      </c>
    </row>
    <row r="11">
      <c r="A11" s="15">
        <v>44936.0</v>
      </c>
      <c r="B11" s="97" t="s">
        <v>58</v>
      </c>
      <c r="C11" s="102">
        <v>0.21</v>
      </c>
      <c r="D11" s="102">
        <v>0.84</v>
      </c>
      <c r="E11" s="102">
        <v>0.85</v>
      </c>
      <c r="F11" s="97" t="s">
        <v>199</v>
      </c>
      <c r="G11" s="16">
        <v>0.1</v>
      </c>
      <c r="H11" s="16" t="s">
        <v>112</v>
      </c>
      <c r="I11" s="97" t="s">
        <v>113</v>
      </c>
      <c r="J11" s="97" t="s">
        <v>200</v>
      </c>
      <c r="K11" s="98">
        <v>15.0</v>
      </c>
      <c r="L11" s="16">
        <v>4.0</v>
      </c>
      <c r="M11" s="16">
        <v>280.0</v>
      </c>
      <c r="N11" s="16">
        <v>0.67</v>
      </c>
      <c r="O11" s="34">
        <f t="shared" si="4"/>
        <v>279.33</v>
      </c>
      <c r="Q11" s="129">
        <f t="shared" si="5"/>
        <v>279.33</v>
      </c>
      <c r="R11" s="16" t="s">
        <v>142</v>
      </c>
      <c r="S11" s="102">
        <v>0.73</v>
      </c>
      <c r="T11" s="102">
        <v>0.66</v>
      </c>
      <c r="U11" s="98" t="s">
        <v>202</v>
      </c>
      <c r="V11" s="98" t="s">
        <v>125</v>
      </c>
      <c r="W11" s="97" t="s">
        <v>203</v>
      </c>
    </row>
    <row r="12">
      <c r="A12" s="15">
        <v>44949.0</v>
      </c>
      <c r="B12" s="97" t="s">
        <v>58</v>
      </c>
      <c r="C12" s="102">
        <v>0.1991</v>
      </c>
      <c r="D12" s="102">
        <v>0.765</v>
      </c>
      <c r="E12" s="102">
        <v>0.759</v>
      </c>
      <c r="F12" s="97" t="s">
        <v>199</v>
      </c>
      <c r="G12" s="16">
        <v>0.1</v>
      </c>
      <c r="H12" s="16" t="s">
        <v>112</v>
      </c>
      <c r="I12" s="97" t="s">
        <v>113</v>
      </c>
      <c r="J12" s="97" t="s">
        <v>200</v>
      </c>
      <c r="K12" s="98">
        <v>16.0</v>
      </c>
      <c r="L12" s="16">
        <v>6.0</v>
      </c>
      <c r="M12" s="16">
        <v>306.0</v>
      </c>
      <c r="N12" s="16">
        <v>9.25</v>
      </c>
      <c r="O12" s="34">
        <f t="shared" si="4"/>
        <v>296.75</v>
      </c>
      <c r="Q12" s="129">
        <f t="shared" si="5"/>
        <v>296.75</v>
      </c>
      <c r="R12" s="16" t="s">
        <v>154</v>
      </c>
      <c r="S12" s="102">
        <v>0.75</v>
      </c>
      <c r="T12" s="102">
        <v>0.7</v>
      </c>
      <c r="U12" s="98" t="s">
        <v>202</v>
      </c>
      <c r="V12" s="98" t="s">
        <v>125</v>
      </c>
      <c r="W12" s="97" t="s">
        <v>203</v>
      </c>
    </row>
    <row r="13">
      <c r="A13" s="15">
        <v>44971.0</v>
      </c>
      <c r="B13" s="97" t="s">
        <v>204</v>
      </c>
      <c r="C13" s="102">
        <v>0.19</v>
      </c>
      <c r="D13" s="102">
        <v>0.17</v>
      </c>
      <c r="E13" s="102">
        <v>0.18</v>
      </c>
      <c r="F13" s="97" t="s">
        <v>199</v>
      </c>
      <c r="G13" s="16">
        <v>0.01</v>
      </c>
      <c r="H13" s="16" t="s">
        <v>148</v>
      </c>
      <c r="I13" s="97" t="s">
        <v>113</v>
      </c>
      <c r="J13" s="16" t="s">
        <v>217</v>
      </c>
      <c r="K13" s="98" t="s">
        <v>218</v>
      </c>
      <c r="L13" s="16">
        <v>10.0</v>
      </c>
      <c r="M13" s="16">
        <v>370.0</v>
      </c>
      <c r="N13" s="16">
        <v>23.85</v>
      </c>
      <c r="O13" s="34">
        <f t="shared" si="4"/>
        <v>346.15</v>
      </c>
      <c r="P13" s="16">
        <v>-129.01</v>
      </c>
      <c r="Q13" s="129">
        <f t="shared" si="5"/>
        <v>217.14</v>
      </c>
      <c r="R13" s="16" t="s">
        <v>219</v>
      </c>
      <c r="S13" s="102">
        <v>0.81</v>
      </c>
      <c r="T13" s="102">
        <v>0.8</v>
      </c>
      <c r="U13" s="16">
        <v>1629.0</v>
      </c>
      <c r="V13" s="102">
        <v>0.17</v>
      </c>
      <c r="W13" s="61">
        <f>Q13/U13</f>
        <v>0.1332965009</v>
      </c>
    </row>
    <row r="14">
      <c r="A14" s="15"/>
      <c r="B14" s="97"/>
      <c r="C14" s="102"/>
      <c r="D14" s="102"/>
      <c r="E14" s="102"/>
      <c r="F14" s="97"/>
      <c r="G14" s="16"/>
      <c r="H14" s="16"/>
      <c r="I14" s="16"/>
      <c r="J14" s="16"/>
      <c r="K14" s="98"/>
      <c r="L14" s="16"/>
      <c r="M14" s="16"/>
      <c r="N14" s="16"/>
      <c r="O14" s="34"/>
      <c r="Q14" s="130"/>
      <c r="S14" s="102"/>
      <c r="T14" s="102"/>
      <c r="U14" s="16"/>
      <c r="V14" s="102"/>
      <c r="W14" s="61"/>
    </row>
    <row r="15">
      <c r="A15" s="15">
        <v>44971.0</v>
      </c>
      <c r="B15" s="97" t="s">
        <v>54</v>
      </c>
      <c r="C15" s="102">
        <v>0.19</v>
      </c>
      <c r="D15" s="102">
        <v>0.33</v>
      </c>
      <c r="E15" s="102">
        <v>0.43</v>
      </c>
      <c r="F15" s="97" t="s">
        <v>199</v>
      </c>
      <c r="G15" s="16">
        <v>0.1</v>
      </c>
      <c r="H15" s="16" t="s">
        <v>163</v>
      </c>
      <c r="I15" s="97" t="s">
        <v>113</v>
      </c>
      <c r="J15" s="16" t="s">
        <v>217</v>
      </c>
      <c r="K15" s="98" t="s">
        <v>220</v>
      </c>
      <c r="L15" s="16">
        <v>10.0</v>
      </c>
      <c r="M15" s="16">
        <v>260.0</v>
      </c>
      <c r="N15" s="16">
        <v>13.91</v>
      </c>
      <c r="O15" s="34">
        <f t="shared" ref="O15:O20" si="6">M15-N15</f>
        <v>246.09</v>
      </c>
      <c r="P15" s="16">
        <v>-34.51</v>
      </c>
      <c r="Q15" s="129">
        <f t="shared" ref="Q15:Q20" si="7">sum(O15:P15)</f>
        <v>211.58</v>
      </c>
      <c r="R15" s="16" t="s">
        <v>221</v>
      </c>
      <c r="S15" s="102">
        <v>0.85</v>
      </c>
      <c r="T15" s="102">
        <v>0.84</v>
      </c>
      <c r="U15" s="16">
        <v>1739.0</v>
      </c>
      <c r="V15" s="102">
        <v>0.11</v>
      </c>
      <c r="W15" s="61">
        <f>Q15/U15</f>
        <v>0.1216676251</v>
      </c>
    </row>
    <row r="16">
      <c r="A16" s="15">
        <v>44978.0</v>
      </c>
      <c r="B16" s="97" t="s">
        <v>204</v>
      </c>
      <c r="C16" s="102">
        <v>0.229</v>
      </c>
      <c r="D16" s="102">
        <v>0.203</v>
      </c>
      <c r="E16" s="102">
        <v>0.17671</v>
      </c>
      <c r="F16" s="97" t="s">
        <v>199</v>
      </c>
      <c r="G16" s="16">
        <v>0.02</v>
      </c>
      <c r="H16" s="16" t="s">
        <v>148</v>
      </c>
      <c r="I16" s="97" t="s">
        <v>113</v>
      </c>
      <c r="J16" s="16" t="s">
        <v>217</v>
      </c>
      <c r="K16" s="98" t="s">
        <v>222</v>
      </c>
      <c r="L16" s="16">
        <v>10.0</v>
      </c>
      <c r="M16" s="16">
        <v>360.0</v>
      </c>
      <c r="N16" s="16">
        <v>9.04</v>
      </c>
      <c r="O16" s="34">
        <f t="shared" si="6"/>
        <v>350.96</v>
      </c>
      <c r="P16" s="16">
        <v>-108.17</v>
      </c>
      <c r="Q16" s="129">
        <f t="shared" si="7"/>
        <v>242.79</v>
      </c>
      <c r="R16" s="16" t="s">
        <v>223</v>
      </c>
    </row>
    <row r="17">
      <c r="A17" s="15">
        <v>44992.0</v>
      </c>
      <c r="B17" s="97" t="s">
        <v>204</v>
      </c>
      <c r="C17" s="102">
        <v>0.2</v>
      </c>
      <c r="D17" s="102">
        <v>0.18</v>
      </c>
      <c r="E17" s="102">
        <v>0.171</v>
      </c>
      <c r="F17" s="97" t="s">
        <v>199</v>
      </c>
      <c r="G17" s="16">
        <v>0.01</v>
      </c>
      <c r="H17" s="16" t="s">
        <v>148</v>
      </c>
      <c r="I17" s="97" t="s">
        <v>113</v>
      </c>
      <c r="J17" s="16" t="s">
        <v>224</v>
      </c>
      <c r="K17" s="98" t="s">
        <v>225</v>
      </c>
      <c r="L17" s="16">
        <v>10.0</v>
      </c>
      <c r="M17" s="16">
        <v>380.0</v>
      </c>
      <c r="N17" s="16">
        <v>10.02</v>
      </c>
      <c r="O17" s="34">
        <f t="shared" si="6"/>
        <v>369.98</v>
      </c>
      <c r="P17" s="16">
        <v>-143.51</v>
      </c>
      <c r="Q17" s="129">
        <f t="shared" si="7"/>
        <v>226.47</v>
      </c>
      <c r="R17" s="16" t="s">
        <v>226</v>
      </c>
      <c r="S17" s="102">
        <v>0.79</v>
      </c>
      <c r="T17" s="102">
        <v>0.79</v>
      </c>
      <c r="U17" s="16">
        <v>1628.0</v>
      </c>
      <c r="V17" s="102">
        <v>0.19</v>
      </c>
      <c r="W17" s="61">
        <f>Q17/U17</f>
        <v>0.1391093366</v>
      </c>
    </row>
    <row r="18">
      <c r="A18" s="15">
        <v>44978.0</v>
      </c>
      <c r="B18" s="97" t="s">
        <v>59</v>
      </c>
      <c r="C18" s="102">
        <v>0.229</v>
      </c>
      <c r="D18" s="102">
        <v>0.541</v>
      </c>
      <c r="E18" s="102">
        <v>0.535</v>
      </c>
      <c r="F18" s="97" t="s">
        <v>199</v>
      </c>
      <c r="G18" s="16">
        <v>0.4</v>
      </c>
      <c r="H18" s="16" t="s">
        <v>116</v>
      </c>
      <c r="I18" s="97" t="s">
        <v>113</v>
      </c>
      <c r="J18" s="16" t="s">
        <v>217</v>
      </c>
      <c r="K18" s="98">
        <v>120.0</v>
      </c>
      <c r="L18" s="16">
        <v>1.0</v>
      </c>
      <c r="M18" s="16">
        <v>591.0</v>
      </c>
      <c r="N18" s="16">
        <v>0.27</v>
      </c>
      <c r="O18" s="34">
        <f t="shared" si="6"/>
        <v>590.73</v>
      </c>
      <c r="Q18" s="129">
        <f t="shared" si="7"/>
        <v>590.73</v>
      </c>
      <c r="R18" s="44" t="s">
        <v>227</v>
      </c>
      <c r="S18" s="102">
        <v>0.67</v>
      </c>
      <c r="T18" s="102">
        <v>0.53</v>
      </c>
      <c r="U18" s="16">
        <v>11408.0</v>
      </c>
      <c r="V18" s="98" t="s">
        <v>125</v>
      </c>
      <c r="W18" s="102">
        <v>0.05</v>
      </c>
    </row>
    <row r="19">
      <c r="A19" s="15">
        <v>44978.0</v>
      </c>
      <c r="B19" s="97" t="s">
        <v>58</v>
      </c>
      <c r="C19" s="102">
        <v>0.229</v>
      </c>
      <c r="D19" s="102">
        <v>1.131</v>
      </c>
      <c r="E19" s="102">
        <v>0.8378</v>
      </c>
      <c r="F19" s="97" t="s">
        <v>228</v>
      </c>
      <c r="G19" s="16">
        <v>0.1</v>
      </c>
      <c r="H19" s="16" t="s">
        <v>112</v>
      </c>
      <c r="I19" s="97" t="s">
        <v>113</v>
      </c>
      <c r="J19" s="16" t="s">
        <v>217</v>
      </c>
      <c r="K19" s="98">
        <v>16.0</v>
      </c>
      <c r="L19" s="16">
        <v>6.0</v>
      </c>
      <c r="M19" s="16">
        <v>666.0</v>
      </c>
      <c r="N19" s="16">
        <v>9.32</v>
      </c>
      <c r="O19" s="34">
        <f t="shared" si="6"/>
        <v>656.68</v>
      </c>
      <c r="Q19" s="129">
        <f t="shared" si="7"/>
        <v>656.68</v>
      </c>
      <c r="R19" s="44" t="s">
        <v>229</v>
      </c>
    </row>
    <row r="20">
      <c r="A20" s="15">
        <v>44980.0</v>
      </c>
      <c r="B20" s="97" t="s">
        <v>60</v>
      </c>
      <c r="C20" s="102">
        <v>0.22</v>
      </c>
      <c r="D20" s="102">
        <v>0.277</v>
      </c>
      <c r="E20" s="102">
        <v>0.28</v>
      </c>
      <c r="F20" s="97" t="s">
        <v>199</v>
      </c>
      <c r="G20" s="16">
        <v>0.05</v>
      </c>
      <c r="H20" s="16" t="s">
        <v>116</v>
      </c>
      <c r="I20" s="97" t="s">
        <v>113</v>
      </c>
      <c r="J20" s="16" t="s">
        <v>224</v>
      </c>
      <c r="K20" s="98">
        <v>135.0</v>
      </c>
      <c r="L20" s="16">
        <v>1.0</v>
      </c>
      <c r="M20" s="16">
        <v>215.0</v>
      </c>
      <c r="N20" s="16">
        <v>1.05</v>
      </c>
      <c r="O20" s="34">
        <f t="shared" si="6"/>
        <v>213.95</v>
      </c>
      <c r="P20" s="16">
        <v>-44.85</v>
      </c>
      <c r="Q20" s="129">
        <f t="shared" si="7"/>
        <v>169.1</v>
      </c>
      <c r="R20" s="16" t="s">
        <v>230</v>
      </c>
      <c r="S20" s="102">
        <v>0.85</v>
      </c>
      <c r="T20" s="102">
        <v>0.82</v>
      </c>
      <c r="U20" s="16">
        <v>13287.0</v>
      </c>
      <c r="V20" s="98" t="s">
        <v>125</v>
      </c>
      <c r="W20" s="61">
        <f>Q20/U20</f>
        <v>0.01272672537</v>
      </c>
    </row>
    <row r="21">
      <c r="B21" s="103"/>
      <c r="C21" s="61"/>
      <c r="D21" s="61"/>
      <c r="K21" s="108"/>
      <c r="Q21" s="131"/>
    </row>
    <row r="22">
      <c r="A22" s="15">
        <v>45001.0</v>
      </c>
      <c r="B22" s="97" t="s">
        <v>231</v>
      </c>
      <c r="C22" s="102">
        <v>0.234</v>
      </c>
      <c r="D22" s="102">
        <v>0.4</v>
      </c>
      <c r="E22" s="102">
        <v>0.353</v>
      </c>
      <c r="F22" s="97" t="s">
        <v>232</v>
      </c>
      <c r="G22" s="16">
        <v>0.03</v>
      </c>
      <c r="H22" s="16" t="s">
        <v>116</v>
      </c>
      <c r="I22" s="97" t="s">
        <v>113</v>
      </c>
      <c r="J22" s="16" t="s">
        <v>224</v>
      </c>
      <c r="K22" s="98">
        <v>45.0</v>
      </c>
      <c r="L22" s="16">
        <v>1.0</v>
      </c>
      <c r="M22" s="16">
        <v>203.0</v>
      </c>
      <c r="N22" s="16">
        <v>0.63</v>
      </c>
      <c r="O22" s="34">
        <f t="shared" ref="O22:O24" si="8">M22-N22</f>
        <v>202.37</v>
      </c>
      <c r="Q22" s="129">
        <f>COUNT(Q15:Q21)</f>
        <v>6</v>
      </c>
      <c r="R22" s="16" t="s">
        <v>233</v>
      </c>
      <c r="S22" s="102">
        <v>0.68</v>
      </c>
      <c r="T22" s="102">
        <v>0.54</v>
      </c>
      <c r="U22" s="16">
        <v>4295.0</v>
      </c>
      <c r="V22" s="98" t="s">
        <v>125</v>
      </c>
      <c r="W22" s="61">
        <f t="shared" ref="W22:W24" si="9">Q22/U22</f>
        <v>0.001396973225</v>
      </c>
    </row>
    <row r="23">
      <c r="A23" s="15">
        <v>45009.0</v>
      </c>
      <c r="B23" s="97" t="s">
        <v>58</v>
      </c>
      <c r="C23" s="102">
        <v>0.243</v>
      </c>
      <c r="D23" s="102">
        <v>0.721</v>
      </c>
      <c r="E23" s="102">
        <v>0.854</v>
      </c>
      <c r="F23" s="97" t="s">
        <v>199</v>
      </c>
      <c r="G23" s="16">
        <v>0.1</v>
      </c>
      <c r="H23" s="16" t="s">
        <v>116</v>
      </c>
      <c r="I23" s="97" t="s">
        <v>113</v>
      </c>
      <c r="J23" s="16" t="s">
        <v>224</v>
      </c>
      <c r="K23" s="98">
        <v>20.0</v>
      </c>
      <c r="L23" s="16">
        <v>3.0</v>
      </c>
      <c r="M23" s="16">
        <v>453.0</v>
      </c>
      <c r="N23" s="16">
        <v>0.29</v>
      </c>
      <c r="O23" s="34">
        <f t="shared" si="8"/>
        <v>452.71</v>
      </c>
      <c r="Q23" s="132">
        <f t="shared" ref="Q23:Q24" si="10">sum(O23:P23)</f>
        <v>452.71</v>
      </c>
      <c r="R23" s="44" t="s">
        <v>234</v>
      </c>
      <c r="S23" s="102">
        <v>0.67</v>
      </c>
      <c r="T23" s="102">
        <v>0.53</v>
      </c>
      <c r="U23" s="16">
        <v>5578.0</v>
      </c>
      <c r="V23" s="98" t="s">
        <v>125</v>
      </c>
      <c r="W23" s="61">
        <f t="shared" si="9"/>
        <v>0.08115991395</v>
      </c>
    </row>
    <row r="24">
      <c r="A24" s="15">
        <v>45009.0</v>
      </c>
      <c r="B24" s="97" t="s">
        <v>60</v>
      </c>
      <c r="C24" s="102">
        <v>0.223</v>
      </c>
      <c r="D24" s="102">
        <v>0.292</v>
      </c>
      <c r="E24" s="102">
        <v>0.242</v>
      </c>
      <c r="F24" s="97" t="s">
        <v>235</v>
      </c>
      <c r="G24" s="16">
        <v>0.1</v>
      </c>
      <c r="H24" s="16" t="s">
        <v>116</v>
      </c>
      <c r="I24" s="97" t="s">
        <v>113</v>
      </c>
      <c r="J24" s="16" t="s">
        <v>236</v>
      </c>
      <c r="K24" s="98">
        <v>145.0</v>
      </c>
      <c r="L24" s="16">
        <v>1.0</v>
      </c>
      <c r="M24" s="16">
        <v>274.0</v>
      </c>
      <c r="N24" s="16">
        <v>1.05</v>
      </c>
      <c r="O24" s="34">
        <f t="shared" si="8"/>
        <v>272.95</v>
      </c>
      <c r="P24" s="16">
        <v>-53.05</v>
      </c>
      <c r="Q24" s="129">
        <f t="shared" si="10"/>
        <v>219.9</v>
      </c>
      <c r="R24" s="16" t="s">
        <v>237</v>
      </c>
      <c r="S24" s="102">
        <v>0.86</v>
      </c>
      <c r="T24" s="102">
        <v>0.82</v>
      </c>
      <c r="U24" s="16">
        <v>14234.0</v>
      </c>
      <c r="V24" s="98" t="s">
        <v>125</v>
      </c>
      <c r="W24" s="61">
        <f t="shared" si="9"/>
        <v>0.01544892511</v>
      </c>
    </row>
    <row r="25">
      <c r="A25" s="133"/>
      <c r="B25" s="103"/>
      <c r="C25" s="61"/>
      <c r="D25" s="61"/>
      <c r="E25" s="61"/>
      <c r="K25" s="108"/>
      <c r="Q25" s="131"/>
    </row>
    <row r="26">
      <c r="A26" s="15">
        <v>45006.0</v>
      </c>
      <c r="B26" s="97" t="s">
        <v>59</v>
      </c>
      <c r="C26" s="61"/>
      <c r="D26" s="61"/>
      <c r="E26" s="61"/>
      <c r="F26" s="103"/>
      <c r="H26" s="16" t="s">
        <v>112</v>
      </c>
      <c r="I26" s="97" t="s">
        <v>113</v>
      </c>
      <c r="J26" s="16" t="s">
        <v>236</v>
      </c>
      <c r="K26" s="98">
        <v>130.0</v>
      </c>
      <c r="L26" s="16">
        <v>1.0</v>
      </c>
      <c r="M26" s="16">
        <v>640.0</v>
      </c>
      <c r="N26" s="16">
        <v>0.2</v>
      </c>
      <c r="O26" s="34">
        <f t="shared" ref="O26:O28" si="11">M26-N26</f>
        <v>639.8</v>
      </c>
      <c r="P26" s="16">
        <f>-156.32-38.25</f>
        <v>-194.57</v>
      </c>
      <c r="Q26" s="129">
        <f t="shared" ref="Q26:Q31" si="12">sum(O26:P26)</f>
        <v>445.23</v>
      </c>
      <c r="R26" s="16" t="s">
        <v>238</v>
      </c>
    </row>
    <row r="27">
      <c r="A27" s="133">
        <v>45050.0</v>
      </c>
      <c r="B27" s="97" t="s">
        <v>59</v>
      </c>
      <c r="C27" s="102">
        <v>0.2</v>
      </c>
      <c r="D27" s="102">
        <v>0.556</v>
      </c>
      <c r="E27" s="102">
        <v>0.548</v>
      </c>
      <c r="F27" s="97" t="s">
        <v>199</v>
      </c>
      <c r="G27" s="16">
        <v>0.3</v>
      </c>
      <c r="H27" s="16" t="s">
        <v>116</v>
      </c>
      <c r="I27" s="97" t="s">
        <v>113</v>
      </c>
      <c r="J27" s="16" t="s">
        <v>236</v>
      </c>
      <c r="K27" s="98">
        <v>100.0</v>
      </c>
      <c r="L27" s="16">
        <v>1.0</v>
      </c>
      <c r="M27" s="16">
        <v>164.0</v>
      </c>
      <c r="N27" s="16">
        <v>0.25</v>
      </c>
      <c r="O27" s="34">
        <f t="shared" si="11"/>
        <v>163.75</v>
      </c>
      <c r="P27" s="16">
        <v>-34.25</v>
      </c>
      <c r="Q27" s="129">
        <f t="shared" si="12"/>
        <v>129.5</v>
      </c>
      <c r="R27" s="16" t="s">
        <v>239</v>
      </c>
      <c r="S27" s="102">
        <v>0.84</v>
      </c>
      <c r="T27" s="102">
        <v>0.8</v>
      </c>
      <c r="U27" s="16">
        <v>9840.0</v>
      </c>
      <c r="V27" s="98" t="s">
        <v>125</v>
      </c>
      <c r="W27" s="61">
        <f t="shared" ref="W27:W29" si="13">Q27/U27</f>
        <v>0.01316056911</v>
      </c>
    </row>
    <row r="28">
      <c r="A28" s="133">
        <v>45048.0</v>
      </c>
      <c r="B28" s="97" t="s">
        <v>60</v>
      </c>
      <c r="C28" s="102">
        <v>0.1806</v>
      </c>
      <c r="D28" s="102">
        <v>0.259</v>
      </c>
      <c r="E28" s="102">
        <v>0.187</v>
      </c>
      <c r="F28" s="97" t="s">
        <v>235</v>
      </c>
      <c r="G28" s="16">
        <v>0.1</v>
      </c>
      <c r="H28" s="16" t="s">
        <v>116</v>
      </c>
      <c r="I28" s="97" t="s">
        <v>113</v>
      </c>
      <c r="J28" s="16" t="s">
        <v>240</v>
      </c>
      <c r="K28" s="98">
        <v>155.0</v>
      </c>
      <c r="L28" s="16">
        <v>1.0</v>
      </c>
      <c r="M28" s="16">
        <v>214.0</v>
      </c>
      <c r="N28" s="16">
        <v>1.04</v>
      </c>
      <c r="O28" s="34">
        <f t="shared" si="11"/>
        <v>212.96</v>
      </c>
      <c r="P28" s="16">
        <f>-78.04</f>
        <v>-78.04</v>
      </c>
      <c r="Q28" s="129">
        <f t="shared" si="12"/>
        <v>134.92</v>
      </c>
      <c r="R28" s="16" t="s">
        <v>241</v>
      </c>
      <c r="S28" s="102">
        <v>0.89</v>
      </c>
      <c r="T28" s="102">
        <v>0.86</v>
      </c>
      <c r="U28" s="16">
        <v>15318.0</v>
      </c>
      <c r="V28" s="98" t="s">
        <v>125</v>
      </c>
      <c r="W28" s="61">
        <f t="shared" si="13"/>
        <v>0.008807938373</v>
      </c>
    </row>
    <row r="29">
      <c r="A29" s="15">
        <v>44993.0</v>
      </c>
      <c r="B29" s="97" t="s">
        <v>54</v>
      </c>
      <c r="C29" s="102">
        <v>0.2</v>
      </c>
      <c r="D29" s="102">
        <v>0.3</v>
      </c>
      <c r="E29" s="102">
        <v>0.4</v>
      </c>
      <c r="F29" s="97" t="s">
        <v>199</v>
      </c>
      <c r="G29" s="16">
        <v>0.1</v>
      </c>
      <c r="H29" s="16" t="s">
        <v>180</v>
      </c>
      <c r="I29" s="97" t="s">
        <v>113</v>
      </c>
      <c r="J29" s="16" t="s">
        <v>236</v>
      </c>
      <c r="K29" s="98" t="s">
        <v>242</v>
      </c>
      <c r="L29" s="16">
        <v>5.0</v>
      </c>
      <c r="M29" s="16">
        <v>495.0</v>
      </c>
      <c r="N29" s="16">
        <f>6.37+0.75*3+0.25+3.25+1.25+1.05+0.62+0.63+0.7+0.71+0.31+0.32+0.04+0.03+0.07</f>
        <v>17.85</v>
      </c>
      <c r="O29" s="34">
        <f>M29-N29+5*5+-908-227-206+882-103*3+441*3</f>
        <v>1057.15</v>
      </c>
      <c r="P29" s="16">
        <f>-256.91-6997.25+4902.7</f>
        <v>-2351.46</v>
      </c>
      <c r="Q29" s="134">
        <f t="shared" si="12"/>
        <v>-1294.31</v>
      </c>
      <c r="R29" s="16" t="s">
        <v>243</v>
      </c>
      <c r="S29" s="102">
        <v>0.73</v>
      </c>
      <c r="T29" s="102">
        <v>0.68</v>
      </c>
      <c r="U29" s="16">
        <v>2007.0</v>
      </c>
      <c r="V29" s="102">
        <v>0.14</v>
      </c>
      <c r="W29" s="61">
        <f t="shared" si="13"/>
        <v>-0.6448978575</v>
      </c>
    </row>
    <row r="30">
      <c r="A30" s="15">
        <v>45008.0</v>
      </c>
      <c r="B30" s="97" t="s">
        <v>204</v>
      </c>
      <c r="C30" s="102">
        <v>0.243</v>
      </c>
      <c r="D30" s="102">
        <v>0.198</v>
      </c>
      <c r="E30" s="102">
        <v>0.1867</v>
      </c>
      <c r="F30" s="97" t="s">
        <v>199</v>
      </c>
      <c r="G30" s="16">
        <v>0.02</v>
      </c>
      <c r="H30" s="16" t="s">
        <v>148</v>
      </c>
      <c r="I30" s="97" t="s">
        <v>113</v>
      </c>
      <c r="J30" s="16" t="s">
        <v>236</v>
      </c>
      <c r="K30" s="98" t="s">
        <v>244</v>
      </c>
      <c r="L30" s="16">
        <v>10.0</v>
      </c>
      <c r="M30" s="16">
        <v>610.0</v>
      </c>
      <c r="N30" s="16">
        <f>11.76+1.75*2+1.8*2+9.54+9.51++0.84*2+1.54*2</f>
        <v>42.67</v>
      </c>
      <c r="O30" s="34">
        <f>M30-N30-1870*2+4770*2+1440-6008+180-751+182-753+1017</f>
        <v>1674.33</v>
      </c>
      <c r="P30" s="8">
        <f>-1450-5.97-5.95-4.43-4.41-1.54-1.54-1624</f>
        <v>-3097.84</v>
      </c>
      <c r="Q30" s="134">
        <f t="shared" si="12"/>
        <v>-1423.51</v>
      </c>
      <c r="R30" s="44" t="s">
        <v>245</v>
      </c>
      <c r="S30" s="102"/>
      <c r="T30" s="102"/>
      <c r="V30" s="102"/>
      <c r="W30" s="61"/>
    </row>
    <row r="31">
      <c r="A31" s="133">
        <v>45043.0</v>
      </c>
      <c r="B31" s="97" t="s">
        <v>204</v>
      </c>
      <c r="C31" s="102">
        <v>0.187</v>
      </c>
      <c r="D31" s="102">
        <v>0.134</v>
      </c>
      <c r="E31" s="102">
        <v>0.1354</v>
      </c>
      <c r="F31" s="97" t="s">
        <v>199</v>
      </c>
      <c r="G31" s="16">
        <v>0.01</v>
      </c>
      <c r="H31" s="16" t="s">
        <v>127</v>
      </c>
      <c r="I31" s="97" t="s">
        <v>113</v>
      </c>
      <c r="J31" s="16" t="s">
        <v>236</v>
      </c>
      <c r="K31" s="98" t="s">
        <v>246</v>
      </c>
      <c r="L31" s="16">
        <v>10.0</v>
      </c>
      <c r="M31" s="16">
        <v>310.0</v>
      </c>
      <c r="N31" s="16">
        <v>20.76</v>
      </c>
      <c r="O31" s="34">
        <f>M31-N31</f>
        <v>289.24</v>
      </c>
      <c r="Q31" s="129">
        <f t="shared" si="12"/>
        <v>289.24</v>
      </c>
      <c r="S31" s="102">
        <v>0.92</v>
      </c>
      <c r="T31" s="102">
        <v>0.92</v>
      </c>
      <c r="U31" s="16">
        <v>1819.0</v>
      </c>
      <c r="V31" s="107">
        <v>0.057</v>
      </c>
      <c r="W31" s="61">
        <f>Q31/U31</f>
        <v>0.1590104453</v>
      </c>
    </row>
    <row r="32">
      <c r="A32" s="133"/>
      <c r="B32" s="97"/>
      <c r="C32" s="102"/>
      <c r="D32" s="102"/>
      <c r="E32" s="102"/>
      <c r="F32" s="16"/>
      <c r="G32" s="16"/>
      <c r="H32" s="16"/>
      <c r="I32" s="16"/>
      <c r="J32" s="16"/>
      <c r="K32" s="98"/>
      <c r="L32" s="16"/>
      <c r="M32" s="16"/>
      <c r="N32" s="16"/>
      <c r="O32" s="34"/>
      <c r="Q32" s="131"/>
    </row>
    <row r="33">
      <c r="A33" s="133">
        <v>45055.0</v>
      </c>
      <c r="B33" s="97" t="s">
        <v>204</v>
      </c>
      <c r="C33" s="102">
        <v>0.17</v>
      </c>
      <c r="D33" s="102">
        <v>0.153</v>
      </c>
      <c r="E33" s="102">
        <v>0.114</v>
      </c>
      <c r="F33" s="97" t="s">
        <v>199</v>
      </c>
      <c r="G33" s="16">
        <v>0.01</v>
      </c>
      <c r="H33" s="16" t="s">
        <v>148</v>
      </c>
      <c r="I33" s="97" t="s">
        <v>113</v>
      </c>
      <c r="J33" s="16" t="s">
        <v>240</v>
      </c>
      <c r="K33" s="98" t="s">
        <v>247</v>
      </c>
      <c r="L33" s="16">
        <v>10.0</v>
      </c>
      <c r="M33" s="16">
        <v>470.0</v>
      </c>
      <c r="N33" s="16">
        <f>21.66+23.83</f>
        <v>45.49</v>
      </c>
      <c r="O33" s="34">
        <f>M33-N33+850+899+665.93+561.4</f>
        <v>3400.84</v>
      </c>
      <c r="P33" s="16">
        <f>-1153.83-1034-1147.65-1101.26-1531.26</f>
        <v>-5968</v>
      </c>
      <c r="Q33" s="134">
        <f t="shared" ref="Q33:Q37" si="14">sum(O33:P33)</f>
        <v>-2567.16</v>
      </c>
      <c r="R33" s="16" t="s">
        <v>248</v>
      </c>
      <c r="S33" s="102">
        <v>0.76</v>
      </c>
      <c r="T33" s="102">
        <v>0.75</v>
      </c>
      <c r="U33" s="16">
        <v>1527.0</v>
      </c>
      <c r="V33" s="102">
        <v>0.22</v>
      </c>
      <c r="W33" s="61">
        <f t="shared" ref="W33:W35" si="15">Q33/U33</f>
        <v>-1.681178782</v>
      </c>
    </row>
    <row r="34">
      <c r="A34" s="133">
        <v>45055.0</v>
      </c>
      <c r="B34" s="97" t="s">
        <v>204</v>
      </c>
      <c r="C34" s="102">
        <v>0.17</v>
      </c>
      <c r="D34" s="102">
        <v>0.153</v>
      </c>
      <c r="E34" s="102">
        <v>0.114</v>
      </c>
      <c r="F34" s="97" t="s">
        <v>199</v>
      </c>
      <c r="G34" s="16">
        <v>0.01</v>
      </c>
      <c r="H34" s="16" t="s">
        <v>127</v>
      </c>
      <c r="I34" s="97" t="s">
        <v>113</v>
      </c>
      <c r="J34" s="16" t="s">
        <v>240</v>
      </c>
      <c r="K34" s="98" t="s">
        <v>249</v>
      </c>
      <c r="L34" s="16">
        <v>10.0</v>
      </c>
      <c r="M34" s="16">
        <v>280.0</v>
      </c>
      <c r="N34" s="16">
        <f>23.86+21.86</f>
        <v>45.72</v>
      </c>
      <c r="O34" s="34">
        <f>M34-N34+270+172+226.19+227.63+196.19</f>
        <v>1326.29</v>
      </c>
      <c r="P34" s="16">
        <v>-58.01</v>
      </c>
      <c r="Q34" s="129">
        <f t="shared" si="14"/>
        <v>1268.28</v>
      </c>
      <c r="R34" s="16" t="s">
        <v>250</v>
      </c>
      <c r="S34" s="102">
        <v>0.86</v>
      </c>
      <c r="T34" s="102">
        <v>0.86</v>
      </c>
      <c r="U34" s="16">
        <v>1739.0</v>
      </c>
      <c r="V34" s="102">
        <v>0.12</v>
      </c>
      <c r="W34" s="61">
        <f t="shared" si="15"/>
        <v>0.7293156987</v>
      </c>
    </row>
    <row r="35">
      <c r="A35" s="133">
        <v>45057.0</v>
      </c>
      <c r="B35" s="97" t="s">
        <v>59</v>
      </c>
      <c r="C35" s="102">
        <v>0.17</v>
      </c>
      <c r="D35" s="102">
        <v>0.468</v>
      </c>
      <c r="E35" s="102">
        <v>0.542</v>
      </c>
      <c r="F35" s="97" t="s">
        <v>199</v>
      </c>
      <c r="G35" s="16">
        <v>0.2</v>
      </c>
      <c r="H35" s="16" t="s">
        <v>127</v>
      </c>
      <c r="I35" s="97" t="s">
        <v>113</v>
      </c>
      <c r="J35" s="16" t="s">
        <v>240</v>
      </c>
      <c r="K35" s="98">
        <v>105.0</v>
      </c>
      <c r="L35" s="16">
        <v>1.0</v>
      </c>
      <c r="M35" s="16">
        <v>269.0</v>
      </c>
      <c r="N35" s="16">
        <v>0.25</v>
      </c>
      <c r="O35" s="34">
        <f t="shared" ref="O35:O37" si="16">M35-N35</f>
        <v>268.75</v>
      </c>
      <c r="Q35" s="129">
        <f t="shared" si="14"/>
        <v>268.75</v>
      </c>
      <c r="S35" s="102">
        <v>0.82</v>
      </c>
      <c r="T35" s="102">
        <v>0.77</v>
      </c>
      <c r="U35" s="16">
        <v>10234.0</v>
      </c>
      <c r="V35" s="98" t="s">
        <v>125</v>
      </c>
      <c r="W35" s="61">
        <f t="shared" si="15"/>
        <v>0.0262605042</v>
      </c>
    </row>
    <row r="36">
      <c r="A36" s="133">
        <v>45063.0</v>
      </c>
      <c r="B36" s="97" t="s">
        <v>58</v>
      </c>
      <c r="C36" s="102">
        <v>0.17</v>
      </c>
      <c r="D36" s="102">
        <v>0.788</v>
      </c>
      <c r="E36" s="102">
        <v>0.516</v>
      </c>
      <c r="F36" s="97" t="s">
        <v>235</v>
      </c>
      <c r="G36" s="16">
        <v>0.15</v>
      </c>
      <c r="H36" s="16" t="s">
        <v>112</v>
      </c>
      <c r="I36" s="97" t="s">
        <v>113</v>
      </c>
      <c r="J36" s="16" t="s">
        <v>240</v>
      </c>
      <c r="K36" s="98">
        <v>20.0</v>
      </c>
      <c r="L36" s="16">
        <v>3.0</v>
      </c>
      <c r="M36" s="16">
        <v>420.0</v>
      </c>
      <c r="N36" s="16">
        <v>0.14</v>
      </c>
      <c r="O36" s="34">
        <f t="shared" si="16"/>
        <v>419.86</v>
      </c>
      <c r="Q36" s="132">
        <f t="shared" si="14"/>
        <v>419.86</v>
      </c>
      <c r="R36" s="16" t="s">
        <v>251</v>
      </c>
      <c r="S36" s="102">
        <v>0.68</v>
      </c>
      <c r="T36" s="102">
        <v>0.57</v>
      </c>
    </row>
    <row r="37">
      <c r="A37" s="133">
        <v>45071.0</v>
      </c>
      <c r="B37" s="97" t="s">
        <v>54</v>
      </c>
      <c r="C37" s="102">
        <v>0.19</v>
      </c>
      <c r="D37" s="102">
        <v>0.287</v>
      </c>
      <c r="E37" s="102">
        <v>0.315</v>
      </c>
      <c r="F37" s="97" t="s">
        <v>199</v>
      </c>
      <c r="G37" s="16">
        <v>0.1</v>
      </c>
      <c r="H37" s="16" t="s">
        <v>112</v>
      </c>
      <c r="I37" s="97" t="s">
        <v>113</v>
      </c>
      <c r="J37" s="16" t="s">
        <v>240</v>
      </c>
      <c r="K37" s="98">
        <v>130.0</v>
      </c>
      <c r="L37" s="16">
        <v>1.0</v>
      </c>
      <c r="M37" s="16">
        <v>127.0</v>
      </c>
      <c r="N37" s="16">
        <v>1.04</v>
      </c>
      <c r="O37" s="34">
        <f t="shared" si="16"/>
        <v>125.96</v>
      </c>
      <c r="Q37" s="129">
        <f t="shared" si="14"/>
        <v>125.96</v>
      </c>
      <c r="S37" s="102">
        <v>0.79</v>
      </c>
      <c r="T37" s="102">
        <v>0.75</v>
      </c>
    </row>
    <row r="38">
      <c r="A38" s="133"/>
      <c r="B38" s="103"/>
      <c r="C38" s="61"/>
      <c r="D38" s="61"/>
      <c r="E38" s="61"/>
      <c r="K38" s="108"/>
      <c r="Q38" s="131"/>
    </row>
    <row r="39">
      <c r="A39" s="15">
        <v>45097.0</v>
      </c>
      <c r="B39" s="97" t="s">
        <v>59</v>
      </c>
      <c r="C39" s="102">
        <v>0.14</v>
      </c>
      <c r="D39" s="102">
        <v>0.47</v>
      </c>
      <c r="E39" s="102">
        <v>0.44</v>
      </c>
      <c r="F39" s="97" t="s">
        <v>199</v>
      </c>
      <c r="G39" s="16">
        <v>0.2</v>
      </c>
      <c r="H39" s="16" t="s">
        <v>116</v>
      </c>
      <c r="I39" s="16" t="s">
        <v>113</v>
      </c>
      <c r="J39" s="16" t="s">
        <v>252</v>
      </c>
      <c r="K39" s="98">
        <v>105.0</v>
      </c>
      <c r="L39" s="16">
        <v>1.0</v>
      </c>
      <c r="M39" s="16">
        <v>496.0</v>
      </c>
      <c r="N39" s="16">
        <v>0.26</v>
      </c>
      <c r="O39" s="34">
        <f t="shared" ref="O39:O41" si="17">M39-N39</f>
        <v>495.74</v>
      </c>
      <c r="P39" s="16">
        <v>-9.05</v>
      </c>
      <c r="Q39" s="129">
        <f t="shared" ref="Q39:Q41" si="18">sum(O39:P39)</f>
        <v>486.69</v>
      </c>
      <c r="S39" s="102">
        <v>0.68</v>
      </c>
      <c r="T39" s="102">
        <v>0.55</v>
      </c>
      <c r="U39" s="16">
        <v>9998.0</v>
      </c>
      <c r="V39" s="98" t="s">
        <v>125</v>
      </c>
      <c r="W39" s="102">
        <v>0.05</v>
      </c>
    </row>
    <row r="40">
      <c r="A40" s="15">
        <v>45097.0</v>
      </c>
      <c r="B40" s="97" t="s">
        <v>54</v>
      </c>
      <c r="C40" s="102">
        <v>0.14</v>
      </c>
      <c r="D40" s="102">
        <v>0.24</v>
      </c>
      <c r="E40" s="102">
        <v>0.29</v>
      </c>
      <c r="F40" s="97" t="s">
        <v>199</v>
      </c>
      <c r="G40" s="16">
        <v>0.05</v>
      </c>
      <c r="H40" s="16" t="s">
        <v>116</v>
      </c>
      <c r="I40" s="16" t="s">
        <v>113</v>
      </c>
      <c r="J40" s="16" t="s">
        <v>252</v>
      </c>
      <c r="K40" s="98">
        <v>120.0</v>
      </c>
      <c r="L40" s="16">
        <v>1.0</v>
      </c>
      <c r="M40" s="16">
        <v>196.0</v>
      </c>
      <c r="N40" s="16">
        <v>0.63</v>
      </c>
      <c r="O40" s="34">
        <f t="shared" si="17"/>
        <v>195.37</v>
      </c>
      <c r="P40" s="16">
        <v>-23.46</v>
      </c>
      <c r="Q40" s="129">
        <f t="shared" si="18"/>
        <v>171.91</v>
      </c>
      <c r="S40" s="102">
        <v>0.75</v>
      </c>
      <c r="T40" s="102">
        <v>0.67</v>
      </c>
      <c r="U40" s="16">
        <v>11803.0</v>
      </c>
      <c r="V40" s="98" t="s">
        <v>125</v>
      </c>
      <c r="W40" s="102">
        <v>0.02</v>
      </c>
    </row>
    <row r="41">
      <c r="A41" s="15">
        <v>45097.0</v>
      </c>
      <c r="B41" s="97" t="s">
        <v>58</v>
      </c>
      <c r="C41" s="102">
        <v>0.15</v>
      </c>
      <c r="D41" s="102">
        <v>0.59</v>
      </c>
      <c r="E41" s="102">
        <v>0.68</v>
      </c>
      <c r="F41" s="97" t="s">
        <v>199</v>
      </c>
      <c r="G41" s="16">
        <v>0.1</v>
      </c>
      <c r="H41" s="16" t="s">
        <v>112</v>
      </c>
      <c r="I41" s="16" t="s">
        <v>113</v>
      </c>
      <c r="J41" s="16" t="s">
        <v>252</v>
      </c>
      <c r="K41" s="98">
        <v>25.0</v>
      </c>
      <c r="L41" s="16">
        <v>1.0</v>
      </c>
      <c r="M41" s="16">
        <v>131.0</v>
      </c>
      <c r="N41" s="16">
        <v>1.9</v>
      </c>
      <c r="O41" s="34">
        <f t="shared" si="17"/>
        <v>129.1</v>
      </c>
      <c r="P41" s="16">
        <v>-18.05</v>
      </c>
      <c r="Q41" s="129">
        <f t="shared" si="18"/>
        <v>111.05</v>
      </c>
      <c r="S41" s="102">
        <v>0.68</v>
      </c>
      <c r="T41" s="102">
        <v>0.57</v>
      </c>
      <c r="V41" s="98" t="s">
        <v>125</v>
      </c>
    </row>
    <row r="42">
      <c r="A42" s="133"/>
      <c r="B42" s="103"/>
      <c r="K42" s="108"/>
      <c r="Q42" s="131"/>
    </row>
    <row r="43">
      <c r="A43" s="133">
        <v>45121.0</v>
      </c>
      <c r="B43" s="97" t="s">
        <v>54</v>
      </c>
      <c r="C43" s="102">
        <v>0.14</v>
      </c>
      <c r="D43" s="102">
        <v>0.3</v>
      </c>
      <c r="E43" s="102">
        <v>0.26</v>
      </c>
      <c r="F43" s="97" t="s">
        <v>235</v>
      </c>
      <c r="G43" s="16">
        <v>0.1</v>
      </c>
      <c r="H43" s="16" t="s">
        <v>112</v>
      </c>
      <c r="I43" s="16" t="s">
        <v>113</v>
      </c>
      <c r="J43" s="16" t="s">
        <v>253</v>
      </c>
      <c r="K43" s="98">
        <v>130.0</v>
      </c>
      <c r="L43" s="16">
        <v>1.0</v>
      </c>
      <c r="M43" s="16">
        <v>297.0</v>
      </c>
      <c r="N43" s="16">
        <v>0.63</v>
      </c>
      <c r="O43" s="34">
        <f t="shared" ref="O43:O50" si="19">M43-N43</f>
        <v>296.37</v>
      </c>
      <c r="Q43" s="129">
        <f t="shared" ref="Q43:Q50" si="20">sum(O43:P43)</f>
        <v>296.37</v>
      </c>
      <c r="R43" s="16" t="s">
        <v>154</v>
      </c>
      <c r="S43" s="102">
        <v>0.72</v>
      </c>
      <c r="T43" s="102">
        <v>0.63</v>
      </c>
      <c r="V43" s="98" t="s">
        <v>125</v>
      </c>
    </row>
    <row r="44">
      <c r="A44" s="133">
        <v>45121.0</v>
      </c>
      <c r="B44" s="97" t="s">
        <v>59</v>
      </c>
      <c r="C44" s="102">
        <v>0.14</v>
      </c>
      <c r="D44" s="102">
        <v>0.6</v>
      </c>
      <c r="E44" s="102">
        <v>0.41</v>
      </c>
      <c r="F44" s="97" t="s">
        <v>199</v>
      </c>
      <c r="G44" s="16">
        <v>0.3</v>
      </c>
      <c r="H44" s="16" t="s">
        <v>112</v>
      </c>
      <c r="I44" s="16" t="s">
        <v>113</v>
      </c>
      <c r="J44" s="16" t="s">
        <v>253</v>
      </c>
      <c r="K44" s="98">
        <v>135.0</v>
      </c>
      <c r="L44" s="16">
        <v>1.0</v>
      </c>
      <c r="M44" s="16">
        <v>541.0</v>
      </c>
      <c r="N44" s="16">
        <v>0.26</v>
      </c>
      <c r="O44" s="34">
        <f t="shared" si="19"/>
        <v>540.74</v>
      </c>
      <c r="P44" s="16">
        <v>-15.05</v>
      </c>
      <c r="Q44" s="129">
        <f t="shared" si="20"/>
        <v>525.69</v>
      </c>
      <c r="R44" s="16" t="s">
        <v>254</v>
      </c>
      <c r="S44" s="102">
        <v>0.73</v>
      </c>
      <c r="T44" s="102">
        <v>0.66</v>
      </c>
      <c r="V44" s="98" t="s">
        <v>125</v>
      </c>
    </row>
    <row r="45">
      <c r="A45" s="133">
        <v>45124.0</v>
      </c>
      <c r="B45" s="97" t="s">
        <v>60</v>
      </c>
      <c r="C45" s="102">
        <v>0.137</v>
      </c>
      <c r="D45" s="102">
        <v>0.216</v>
      </c>
      <c r="E45" s="102">
        <v>0.172</v>
      </c>
      <c r="F45" s="97" t="s">
        <v>199</v>
      </c>
      <c r="G45" s="16">
        <v>0.05</v>
      </c>
      <c r="H45" s="16" t="s">
        <v>116</v>
      </c>
      <c r="I45" s="16" t="s">
        <v>113</v>
      </c>
      <c r="J45" s="16" t="s">
        <v>253</v>
      </c>
      <c r="K45" s="98">
        <v>180.0</v>
      </c>
      <c r="L45" s="16">
        <v>1.0</v>
      </c>
      <c r="M45" s="16">
        <v>111.0</v>
      </c>
      <c r="N45" s="16">
        <v>1.04</v>
      </c>
      <c r="O45" s="34">
        <f t="shared" si="19"/>
        <v>109.96</v>
      </c>
      <c r="Q45" s="129">
        <f t="shared" si="20"/>
        <v>109.96</v>
      </c>
      <c r="R45" s="44" t="s">
        <v>255</v>
      </c>
      <c r="S45" s="102">
        <v>0.91</v>
      </c>
      <c r="T45" s="102">
        <v>0.89</v>
      </c>
      <c r="U45" s="16">
        <v>17811.0</v>
      </c>
      <c r="V45" s="98" t="s">
        <v>125</v>
      </c>
      <c r="W45" s="102">
        <v>0.01</v>
      </c>
    </row>
    <row r="46">
      <c r="A46" s="133">
        <v>45124.0</v>
      </c>
      <c r="B46" s="97" t="s">
        <v>204</v>
      </c>
      <c r="C46" s="102">
        <v>0.137</v>
      </c>
      <c r="D46" s="102">
        <v>0.11</v>
      </c>
      <c r="E46" s="102">
        <v>0.1</v>
      </c>
      <c r="F46" s="97" t="s">
        <v>199</v>
      </c>
      <c r="G46" s="16">
        <v>0.01</v>
      </c>
      <c r="H46" s="16" t="s">
        <v>148</v>
      </c>
      <c r="I46" s="16" t="s">
        <v>113</v>
      </c>
      <c r="J46" s="16" t="s">
        <v>253</v>
      </c>
      <c r="K46" s="98" t="s">
        <v>256</v>
      </c>
      <c r="L46" s="16">
        <v>10.0</v>
      </c>
      <c r="M46" s="16">
        <v>340.0</v>
      </c>
      <c r="N46" s="16">
        <v>23.82</v>
      </c>
      <c r="O46" s="34">
        <f t="shared" si="19"/>
        <v>316.18</v>
      </c>
      <c r="P46" s="16">
        <v>-134.03</v>
      </c>
      <c r="Q46" s="129">
        <f t="shared" si="20"/>
        <v>182.15</v>
      </c>
      <c r="R46" s="16" t="s">
        <v>257</v>
      </c>
      <c r="S46" s="102">
        <v>0.8</v>
      </c>
      <c r="T46" s="102">
        <v>0.79</v>
      </c>
      <c r="U46" s="16">
        <v>1651.0</v>
      </c>
      <c r="V46" s="102">
        <v>0.17</v>
      </c>
      <c r="W46" s="102">
        <f>O46/U46</f>
        <v>0.1915081769</v>
      </c>
    </row>
    <row r="47">
      <c r="A47" s="133">
        <v>45134.0</v>
      </c>
      <c r="B47" s="97" t="s">
        <v>59</v>
      </c>
      <c r="C47" s="102">
        <v>0.1575</v>
      </c>
      <c r="D47" s="102">
        <v>0.465</v>
      </c>
      <c r="E47" s="102">
        <v>0.65</v>
      </c>
      <c r="F47" s="97" t="s">
        <v>235</v>
      </c>
      <c r="G47" s="16">
        <v>0.3</v>
      </c>
      <c r="H47" s="16" t="s">
        <v>116</v>
      </c>
      <c r="I47" s="16" t="s">
        <v>113</v>
      </c>
      <c r="J47" s="16" t="s">
        <v>253</v>
      </c>
      <c r="K47" s="98">
        <v>95.0</v>
      </c>
      <c r="L47" s="16">
        <v>1.0</v>
      </c>
      <c r="M47" s="16">
        <v>169.0</v>
      </c>
      <c r="N47" s="16">
        <v>0.25</v>
      </c>
      <c r="O47" s="34">
        <f t="shared" si="19"/>
        <v>168.75</v>
      </c>
      <c r="Q47" s="129">
        <f t="shared" si="20"/>
        <v>168.75</v>
      </c>
      <c r="R47" s="44" t="s">
        <v>255</v>
      </c>
      <c r="S47" s="102">
        <v>0.92</v>
      </c>
      <c r="U47" s="16">
        <v>9412.0</v>
      </c>
      <c r="W47" s="102">
        <v>0.01</v>
      </c>
    </row>
    <row r="48">
      <c r="A48" s="133">
        <v>45146.0</v>
      </c>
      <c r="B48" s="97" t="s">
        <v>204</v>
      </c>
      <c r="C48" s="102">
        <v>0.16</v>
      </c>
      <c r="D48" s="102">
        <v>0.13</v>
      </c>
      <c r="E48" s="102">
        <v>0.1</v>
      </c>
      <c r="F48" s="97" t="s">
        <v>199</v>
      </c>
      <c r="G48" s="16">
        <v>0.01</v>
      </c>
      <c r="H48" s="16" t="s">
        <v>148</v>
      </c>
      <c r="I48" s="16" t="s">
        <v>113</v>
      </c>
      <c r="J48" s="16" t="s">
        <v>253</v>
      </c>
      <c r="K48" s="98" t="s">
        <v>258</v>
      </c>
      <c r="L48" s="16">
        <v>10.0</v>
      </c>
      <c r="M48" s="16">
        <v>230.0</v>
      </c>
      <c r="N48" s="16">
        <v>21.43</v>
      </c>
      <c r="O48" s="34">
        <f t="shared" si="19"/>
        <v>208.57</v>
      </c>
      <c r="Q48" s="129">
        <f t="shared" si="20"/>
        <v>208.57</v>
      </c>
      <c r="R48" s="16" t="s">
        <v>154</v>
      </c>
      <c r="S48" s="102">
        <v>0.85</v>
      </c>
      <c r="T48" s="102">
        <v>0.85</v>
      </c>
      <c r="U48" s="16">
        <v>1807.0</v>
      </c>
      <c r="V48" s="102">
        <v>0.11</v>
      </c>
      <c r="W48" s="61">
        <f>O48/U48</f>
        <v>0.1154233536</v>
      </c>
    </row>
    <row r="49">
      <c r="A49" s="15">
        <v>45138.0</v>
      </c>
      <c r="B49" s="97" t="s">
        <v>58</v>
      </c>
      <c r="C49" s="102">
        <v>0.15</v>
      </c>
      <c r="D49" s="102">
        <v>0.7</v>
      </c>
      <c r="E49" s="53">
        <v>0.555</v>
      </c>
      <c r="F49" s="97" t="s">
        <v>235</v>
      </c>
      <c r="G49" s="16">
        <v>0.1</v>
      </c>
      <c r="H49" s="16" t="s">
        <v>112</v>
      </c>
      <c r="I49" s="16" t="s">
        <v>113</v>
      </c>
      <c r="J49" s="16" t="s">
        <v>259</v>
      </c>
      <c r="K49" s="16">
        <v>25.0</v>
      </c>
      <c r="L49" s="16">
        <v>1.0</v>
      </c>
      <c r="M49" s="16">
        <v>211.0</v>
      </c>
      <c r="N49" s="16">
        <v>0.2</v>
      </c>
      <c r="O49" s="34">
        <f t="shared" si="19"/>
        <v>210.8</v>
      </c>
      <c r="P49" s="16">
        <v>-85.9</v>
      </c>
      <c r="Q49" s="129">
        <f t="shared" si="20"/>
        <v>124.9</v>
      </c>
      <c r="R49" s="16" t="s">
        <v>260</v>
      </c>
      <c r="S49" s="102">
        <v>0.67</v>
      </c>
      <c r="T49" s="102">
        <v>0.54</v>
      </c>
    </row>
    <row r="50">
      <c r="A50" s="15">
        <v>45148.0</v>
      </c>
      <c r="B50" s="97" t="s">
        <v>261</v>
      </c>
      <c r="C50" s="53">
        <v>0.165</v>
      </c>
      <c r="D50" s="16">
        <v>80.7</v>
      </c>
      <c r="E50" s="102">
        <v>0.43</v>
      </c>
      <c r="G50" s="16">
        <v>0.05</v>
      </c>
      <c r="H50" s="16" t="s">
        <v>112</v>
      </c>
      <c r="I50" s="16" t="s">
        <v>113</v>
      </c>
      <c r="J50" s="16" t="s">
        <v>253</v>
      </c>
      <c r="K50" s="16">
        <v>28.5</v>
      </c>
      <c r="L50" s="16">
        <v>5.0</v>
      </c>
      <c r="M50" s="16">
        <v>150.0</v>
      </c>
      <c r="N50" s="16">
        <v>0.24</v>
      </c>
      <c r="O50" s="34">
        <f t="shared" si="19"/>
        <v>149.76</v>
      </c>
      <c r="Q50" s="129">
        <f t="shared" si="20"/>
        <v>149.76</v>
      </c>
      <c r="R50" s="16" t="s">
        <v>262</v>
      </c>
      <c r="S50" s="102">
        <v>0.82</v>
      </c>
      <c r="T50" s="102">
        <v>0.79</v>
      </c>
    </row>
    <row r="51">
      <c r="A51" s="15"/>
      <c r="B51" s="103"/>
      <c r="C51" s="52"/>
      <c r="Q51" s="131"/>
    </row>
    <row r="52">
      <c r="A52" s="15">
        <v>45159.0</v>
      </c>
      <c r="B52" s="97" t="s">
        <v>59</v>
      </c>
      <c r="C52" s="53">
        <v>0.183</v>
      </c>
      <c r="D52" s="102">
        <v>0.42</v>
      </c>
      <c r="E52" s="102">
        <v>0.45</v>
      </c>
      <c r="F52" s="97" t="s">
        <v>199</v>
      </c>
      <c r="G52" s="16">
        <v>0.2</v>
      </c>
      <c r="H52" s="16" t="s">
        <v>112</v>
      </c>
      <c r="I52" s="16" t="s">
        <v>113</v>
      </c>
      <c r="J52" s="16" t="s">
        <v>263</v>
      </c>
      <c r="K52" s="16">
        <v>95.0</v>
      </c>
      <c r="L52" s="16">
        <v>1.0</v>
      </c>
      <c r="M52" s="16">
        <v>550.0</v>
      </c>
      <c r="N52" s="16">
        <v>0.31</v>
      </c>
      <c r="O52" s="34">
        <f t="shared" ref="O52:O60" si="21">M52-N52</f>
        <v>549.69</v>
      </c>
      <c r="Q52" s="129">
        <f t="shared" ref="Q52:Q60" si="22">sum(O52:P52)</f>
        <v>549.69</v>
      </c>
      <c r="S52" s="102">
        <v>0.62</v>
      </c>
      <c r="T52" s="102">
        <v>0.43</v>
      </c>
    </row>
    <row r="53">
      <c r="A53" s="15">
        <v>45159.0</v>
      </c>
      <c r="B53" s="97" t="s">
        <v>54</v>
      </c>
      <c r="C53" s="53">
        <v>0.183</v>
      </c>
      <c r="D53" s="102">
        <v>0.28</v>
      </c>
      <c r="E53" s="102">
        <v>0.32</v>
      </c>
      <c r="F53" s="97" t="s">
        <v>199</v>
      </c>
      <c r="G53" s="16">
        <v>0.02</v>
      </c>
      <c r="H53" s="16" t="s">
        <v>112</v>
      </c>
      <c r="I53" s="16" t="s">
        <v>113</v>
      </c>
      <c r="J53" s="16" t="s">
        <v>263</v>
      </c>
      <c r="K53" s="16">
        <v>132.5</v>
      </c>
      <c r="L53" s="16">
        <v>1.0</v>
      </c>
      <c r="M53" s="16">
        <v>187.0</v>
      </c>
      <c r="N53" s="16">
        <v>0.63</v>
      </c>
      <c r="O53" s="34">
        <f t="shared" si="21"/>
        <v>186.37</v>
      </c>
      <c r="Q53" s="129">
        <f t="shared" si="22"/>
        <v>186.37</v>
      </c>
      <c r="R53" s="44" t="s">
        <v>255</v>
      </c>
      <c r="S53" s="102">
        <v>0.74</v>
      </c>
      <c r="T53" s="102">
        <v>0.67</v>
      </c>
    </row>
    <row r="54">
      <c r="A54" s="15">
        <v>45159.0</v>
      </c>
      <c r="B54" s="97" t="s">
        <v>60</v>
      </c>
      <c r="C54" s="53">
        <v>0.183</v>
      </c>
      <c r="D54" s="102">
        <v>0.21</v>
      </c>
      <c r="E54" s="102">
        <v>0.2</v>
      </c>
      <c r="F54" s="97" t="s">
        <v>199</v>
      </c>
      <c r="G54" s="16">
        <v>0.05</v>
      </c>
      <c r="H54" s="16" t="s">
        <v>112</v>
      </c>
      <c r="I54" s="16" t="s">
        <v>113</v>
      </c>
      <c r="J54" s="16" t="s">
        <v>263</v>
      </c>
      <c r="K54" s="16">
        <v>182.5</v>
      </c>
      <c r="L54" s="16">
        <v>1.0</v>
      </c>
      <c r="M54" s="16">
        <v>126.0</v>
      </c>
      <c r="N54" s="16">
        <v>1.04</v>
      </c>
      <c r="O54" s="34">
        <f t="shared" si="21"/>
        <v>124.96</v>
      </c>
      <c r="Q54" s="129">
        <f t="shared" si="22"/>
        <v>124.96</v>
      </c>
      <c r="S54" s="102">
        <v>0.78</v>
      </c>
      <c r="T54" s="102">
        <v>0.73</v>
      </c>
    </row>
    <row r="55">
      <c r="A55" s="15">
        <v>45159.0</v>
      </c>
      <c r="B55" s="97" t="s">
        <v>58</v>
      </c>
      <c r="C55" s="53">
        <v>0.183</v>
      </c>
      <c r="D55" s="102">
        <v>0.68</v>
      </c>
      <c r="E55" s="102">
        <v>0.53</v>
      </c>
      <c r="F55" s="97" t="s">
        <v>199</v>
      </c>
      <c r="G55" s="16">
        <v>0.05</v>
      </c>
      <c r="H55" s="16" t="s">
        <v>112</v>
      </c>
      <c r="I55" s="16" t="s">
        <v>113</v>
      </c>
      <c r="J55" s="16" t="s">
        <v>263</v>
      </c>
      <c r="K55" s="16">
        <v>22.0</v>
      </c>
      <c r="L55" s="16">
        <v>4.0</v>
      </c>
      <c r="M55" s="16">
        <v>436.0</v>
      </c>
      <c r="N55" s="16">
        <v>0.39</v>
      </c>
      <c r="O55" s="34">
        <f t="shared" si="21"/>
        <v>435.61</v>
      </c>
      <c r="P55" s="16">
        <v>-30.2</v>
      </c>
      <c r="Q55" s="129">
        <f t="shared" si="22"/>
        <v>405.41</v>
      </c>
      <c r="S55" s="102">
        <v>0.71</v>
      </c>
      <c r="T55" s="102">
        <v>0.62</v>
      </c>
    </row>
    <row r="56">
      <c r="A56" s="135">
        <v>45159.0</v>
      </c>
      <c r="B56" s="136" t="s">
        <v>264</v>
      </c>
      <c r="C56" s="137">
        <v>0.183</v>
      </c>
      <c r="D56" s="138">
        <v>0.21</v>
      </c>
      <c r="E56" s="138">
        <v>0.2</v>
      </c>
      <c r="F56" s="139" t="s">
        <v>199</v>
      </c>
      <c r="G56" s="140">
        <v>0.05</v>
      </c>
      <c r="H56" s="141" t="s">
        <v>116</v>
      </c>
      <c r="I56" s="142" t="s">
        <v>113</v>
      </c>
      <c r="J56" s="142" t="s">
        <v>263</v>
      </c>
      <c r="K56" s="16">
        <v>1.5</v>
      </c>
      <c r="L56" s="16">
        <v>5.0</v>
      </c>
      <c r="M56" s="16">
        <v>140.0</v>
      </c>
      <c r="N56" s="16">
        <v>3.46</v>
      </c>
      <c r="O56" s="34">
        <f t="shared" si="21"/>
        <v>136.54</v>
      </c>
      <c r="P56" s="16">
        <v>-203.5</v>
      </c>
      <c r="Q56" s="143">
        <f t="shared" si="22"/>
        <v>-66.96</v>
      </c>
      <c r="S56" s="102">
        <v>0.7</v>
      </c>
      <c r="T56" s="102">
        <v>0.54</v>
      </c>
      <c r="U56" s="16">
        <v>622.0</v>
      </c>
      <c r="W56" s="61">
        <f>O56/U56</f>
        <v>0.2195176849</v>
      </c>
    </row>
    <row r="57">
      <c r="A57" s="15">
        <v>45166.0</v>
      </c>
      <c r="B57" s="97" t="s">
        <v>204</v>
      </c>
      <c r="C57" s="107">
        <v>0.167</v>
      </c>
      <c r="D57" s="53">
        <v>0.132</v>
      </c>
      <c r="E57" s="53">
        <v>0.112</v>
      </c>
      <c r="F57" s="139" t="s">
        <v>199</v>
      </c>
      <c r="G57" s="16">
        <v>0.02</v>
      </c>
      <c r="H57" s="16" t="s">
        <v>265</v>
      </c>
      <c r="I57" s="16" t="s">
        <v>135</v>
      </c>
      <c r="J57" s="16" t="s">
        <v>266</v>
      </c>
      <c r="K57" s="16">
        <v>441.0</v>
      </c>
      <c r="L57" s="16">
        <v>2.0</v>
      </c>
      <c r="M57" s="16">
        <v>486.0</v>
      </c>
      <c r="N57" s="16">
        <v>1.34</v>
      </c>
      <c r="O57" s="34">
        <f t="shared" si="21"/>
        <v>484.66</v>
      </c>
      <c r="P57" s="16">
        <v>-416.0</v>
      </c>
      <c r="Q57" s="129">
        <f t="shared" si="22"/>
        <v>68.66</v>
      </c>
      <c r="S57" s="102">
        <v>0.41</v>
      </c>
      <c r="U57" s="16">
        <v>414.0</v>
      </c>
    </row>
    <row r="58">
      <c r="A58" s="15">
        <v>45166.0</v>
      </c>
      <c r="B58" s="97" t="s">
        <v>204</v>
      </c>
      <c r="C58" s="107">
        <v>0.167</v>
      </c>
      <c r="D58" s="53">
        <v>0.132</v>
      </c>
      <c r="E58" s="53">
        <v>0.112</v>
      </c>
      <c r="F58" s="139" t="s">
        <v>199</v>
      </c>
      <c r="G58" s="16">
        <v>0.02</v>
      </c>
      <c r="H58" s="16" t="s">
        <v>148</v>
      </c>
      <c r="I58" s="16" t="s">
        <v>113</v>
      </c>
      <c r="J58" s="16" t="s">
        <v>263</v>
      </c>
      <c r="K58" s="98" t="s">
        <v>267</v>
      </c>
      <c r="L58" s="16">
        <v>10.0</v>
      </c>
      <c r="M58" s="16">
        <v>240.0</v>
      </c>
      <c r="N58" s="16">
        <v>23.83</v>
      </c>
      <c r="O58" s="34">
        <f t="shared" si="21"/>
        <v>216.17</v>
      </c>
      <c r="P58" s="16">
        <v>-30.03</v>
      </c>
      <c r="Q58" s="129">
        <f t="shared" si="22"/>
        <v>186.14</v>
      </c>
      <c r="S58" s="102">
        <v>0.86</v>
      </c>
      <c r="T58" s="102">
        <v>0.85</v>
      </c>
      <c r="U58" s="16">
        <v>1755.0</v>
      </c>
      <c r="V58" s="102">
        <v>0.11</v>
      </c>
      <c r="W58" s="61">
        <f>O58/U58</f>
        <v>0.1231737892</v>
      </c>
    </row>
    <row r="59">
      <c r="A59" s="15">
        <v>45170.0</v>
      </c>
      <c r="B59" s="97" t="s">
        <v>204</v>
      </c>
      <c r="C59" s="107">
        <v>0.15</v>
      </c>
      <c r="D59" s="53">
        <v>0.11</v>
      </c>
      <c r="E59" s="53">
        <v>0.11</v>
      </c>
      <c r="F59" s="139" t="s">
        <v>199</v>
      </c>
      <c r="G59" s="16">
        <v>0.02</v>
      </c>
      <c r="H59" s="16" t="s">
        <v>265</v>
      </c>
      <c r="I59" s="16" t="s">
        <v>135</v>
      </c>
      <c r="J59" s="16" t="s">
        <v>266</v>
      </c>
      <c r="K59" s="16">
        <v>451.0</v>
      </c>
      <c r="L59" s="16">
        <v>2.0</v>
      </c>
      <c r="M59" s="16">
        <v>338.0</v>
      </c>
      <c r="N59" s="16">
        <v>4.77</v>
      </c>
      <c r="O59" s="34">
        <f t="shared" si="21"/>
        <v>333.23</v>
      </c>
      <c r="P59" s="16">
        <v>-429.0</v>
      </c>
      <c r="Q59" s="143">
        <f t="shared" si="22"/>
        <v>-95.77</v>
      </c>
      <c r="S59" s="102">
        <v>0.38</v>
      </c>
      <c r="U59" s="16">
        <v>426.0</v>
      </c>
      <c r="W59" s="102">
        <v>0.58</v>
      </c>
    </row>
    <row r="60">
      <c r="A60" s="15">
        <v>45176.0</v>
      </c>
      <c r="B60" s="97" t="s">
        <v>204</v>
      </c>
      <c r="C60" s="107">
        <v>0.16</v>
      </c>
      <c r="D60" s="53">
        <v>0.118</v>
      </c>
      <c r="E60" s="53">
        <v>0.115</v>
      </c>
      <c r="F60" s="139" t="s">
        <v>199</v>
      </c>
      <c r="G60" s="16">
        <v>0.02</v>
      </c>
      <c r="H60" s="16" t="s">
        <v>265</v>
      </c>
      <c r="I60" s="16" t="s">
        <v>135</v>
      </c>
      <c r="J60" s="16" t="s">
        <v>268</v>
      </c>
      <c r="K60" s="16">
        <v>444.0</v>
      </c>
      <c r="L60" s="16">
        <v>2.0</v>
      </c>
      <c r="M60" s="16">
        <v>266.0</v>
      </c>
      <c r="N60" s="16">
        <v>1.42</v>
      </c>
      <c r="O60" s="34">
        <f t="shared" si="21"/>
        <v>264.58</v>
      </c>
      <c r="P60" s="16">
        <v>-433.0</v>
      </c>
      <c r="Q60" s="143">
        <f t="shared" si="22"/>
        <v>-168.42</v>
      </c>
      <c r="S60" s="102">
        <v>0.62</v>
      </c>
      <c r="U60" s="16">
        <v>442.0</v>
      </c>
      <c r="W60" s="16">
        <v>1.2</v>
      </c>
    </row>
    <row r="61">
      <c r="B61" s="103"/>
    </row>
    <row r="62">
      <c r="A62" s="20">
        <v>45205.0</v>
      </c>
      <c r="B62" s="97" t="s">
        <v>59</v>
      </c>
      <c r="C62" s="102">
        <v>0.18</v>
      </c>
      <c r="D62" s="102">
        <v>0.54</v>
      </c>
      <c r="E62" s="102">
        <v>0.36</v>
      </c>
      <c r="F62" s="97" t="s">
        <v>269</v>
      </c>
      <c r="G62" s="16">
        <v>0.2</v>
      </c>
      <c r="H62" s="16" t="s">
        <v>112</v>
      </c>
      <c r="I62" s="16" t="s">
        <v>113</v>
      </c>
      <c r="J62" s="16" t="s">
        <v>270</v>
      </c>
      <c r="K62" s="16">
        <v>95.0</v>
      </c>
      <c r="L62" s="16">
        <v>1.0</v>
      </c>
      <c r="M62" s="16">
        <v>279.0</v>
      </c>
      <c r="N62" s="16">
        <v>0.24</v>
      </c>
      <c r="O62" s="34">
        <f t="shared" ref="O62:O67" si="23">M62-N62</f>
        <v>278.76</v>
      </c>
      <c r="Q62" s="129">
        <f t="shared" ref="Q62:Q67" si="24">sum(O62:P62)</f>
        <v>278.76</v>
      </c>
      <c r="S62" s="102">
        <v>0.76</v>
      </c>
      <c r="T62" s="102">
        <v>0.72</v>
      </c>
      <c r="V62" s="98" t="s">
        <v>125</v>
      </c>
    </row>
    <row r="63">
      <c r="A63" s="20">
        <v>45205.0</v>
      </c>
      <c r="B63" s="97" t="s">
        <v>54</v>
      </c>
      <c r="C63" s="102">
        <v>0.18</v>
      </c>
      <c r="D63" s="102">
        <v>0.3</v>
      </c>
      <c r="E63" s="102">
        <v>0.22</v>
      </c>
      <c r="F63" s="97" t="s">
        <v>269</v>
      </c>
      <c r="G63" s="16">
        <v>0.1</v>
      </c>
      <c r="H63" s="16" t="s">
        <v>116</v>
      </c>
      <c r="I63" s="16" t="s">
        <v>113</v>
      </c>
      <c r="J63" s="16" t="s">
        <v>270</v>
      </c>
      <c r="K63" s="16">
        <v>130.0</v>
      </c>
      <c r="L63" s="16">
        <v>1.0</v>
      </c>
      <c r="M63" s="16">
        <v>275.0</v>
      </c>
      <c r="N63" s="16">
        <v>1.03</v>
      </c>
      <c r="O63" s="34">
        <f t="shared" si="23"/>
        <v>273.97</v>
      </c>
      <c r="Q63" s="129">
        <f t="shared" si="24"/>
        <v>273.97</v>
      </c>
      <c r="S63" s="102">
        <v>0.79</v>
      </c>
      <c r="T63" s="102">
        <v>0.72</v>
      </c>
      <c r="U63" s="16">
        <v>12648.0</v>
      </c>
      <c r="V63" s="98" t="s">
        <v>125</v>
      </c>
    </row>
    <row r="64">
      <c r="A64" s="20">
        <v>45205.0</v>
      </c>
      <c r="B64" s="97" t="s">
        <v>204</v>
      </c>
      <c r="C64" s="102">
        <v>0.18</v>
      </c>
      <c r="D64" s="102">
        <v>0.15</v>
      </c>
      <c r="E64" s="102">
        <v>0.12</v>
      </c>
      <c r="F64" s="97" t="s">
        <v>199</v>
      </c>
      <c r="G64" s="16">
        <v>0.01</v>
      </c>
      <c r="H64" s="16" t="s">
        <v>127</v>
      </c>
      <c r="I64" s="16" t="s">
        <v>113</v>
      </c>
      <c r="J64" s="16" t="s">
        <v>271</v>
      </c>
      <c r="K64" s="98" t="s">
        <v>272</v>
      </c>
      <c r="L64" s="16">
        <v>10.0</v>
      </c>
      <c r="M64" s="16">
        <v>250.0</v>
      </c>
      <c r="N64" s="16">
        <v>14.85</v>
      </c>
      <c r="O64" s="34">
        <f t="shared" si="23"/>
        <v>235.15</v>
      </c>
      <c r="P64" s="16">
        <v>0.0</v>
      </c>
      <c r="Q64" s="129">
        <f t="shared" si="24"/>
        <v>235.15</v>
      </c>
      <c r="S64" s="102">
        <v>0.87</v>
      </c>
      <c r="T64" s="102">
        <v>0.86</v>
      </c>
      <c r="U64" s="16">
        <v>1756.0</v>
      </c>
      <c r="V64" s="102">
        <v>0.1</v>
      </c>
      <c r="W64" s="61">
        <f>O64/U64</f>
        <v>0.1339123007</v>
      </c>
    </row>
    <row r="65">
      <c r="A65" s="20">
        <v>45205.0</v>
      </c>
      <c r="B65" s="97" t="s">
        <v>58</v>
      </c>
      <c r="C65" s="102">
        <v>0.18</v>
      </c>
      <c r="D65" s="102">
        <v>0.55</v>
      </c>
      <c r="E65" s="102">
        <v>0.57</v>
      </c>
      <c r="F65" s="97" t="s">
        <v>269</v>
      </c>
      <c r="G65" s="16">
        <v>0.15</v>
      </c>
      <c r="H65" s="16" t="s">
        <v>112</v>
      </c>
      <c r="I65" s="16" t="s">
        <v>113</v>
      </c>
      <c r="J65" s="16" t="s">
        <v>270</v>
      </c>
      <c r="K65" s="16">
        <v>17.5</v>
      </c>
      <c r="L65" s="16">
        <v>4.0</v>
      </c>
      <c r="M65" s="16">
        <v>384.0</v>
      </c>
      <c r="N65" s="16">
        <v>0.43</v>
      </c>
      <c r="O65" s="34">
        <f t="shared" si="23"/>
        <v>383.57</v>
      </c>
      <c r="Q65" s="129">
        <f t="shared" si="24"/>
        <v>383.57</v>
      </c>
      <c r="R65" s="44" t="s">
        <v>255</v>
      </c>
      <c r="S65" s="102">
        <v>0.68</v>
      </c>
      <c r="T65" s="102">
        <v>0.57</v>
      </c>
    </row>
    <row r="66">
      <c r="A66" s="20">
        <v>45205.0</v>
      </c>
      <c r="B66" s="97" t="s">
        <v>60</v>
      </c>
      <c r="C66" s="102">
        <v>0.18</v>
      </c>
      <c r="D66" s="102">
        <v>0.25</v>
      </c>
      <c r="E66" s="102">
        <v>0.24</v>
      </c>
      <c r="F66" s="97" t="s">
        <v>269</v>
      </c>
      <c r="G66" s="16">
        <v>0.1</v>
      </c>
      <c r="H66" s="16" t="s">
        <v>112</v>
      </c>
      <c r="I66" s="16" t="s">
        <v>113</v>
      </c>
      <c r="J66" s="16" t="s">
        <v>270</v>
      </c>
      <c r="K66" s="16">
        <v>185.0</v>
      </c>
      <c r="L66" s="16">
        <v>1.0</v>
      </c>
      <c r="M66" s="16">
        <v>286.0</v>
      </c>
      <c r="N66" s="16">
        <v>0.62</v>
      </c>
      <c r="O66" s="34">
        <f t="shared" si="23"/>
        <v>285.38</v>
      </c>
      <c r="P66" s="16">
        <v>-38.84</v>
      </c>
      <c r="Q66" s="129">
        <f t="shared" si="24"/>
        <v>246.54</v>
      </c>
      <c r="S66" s="102">
        <v>0.74</v>
      </c>
      <c r="T66" s="102">
        <v>0.68</v>
      </c>
    </row>
    <row r="67">
      <c r="A67" s="16" t="s">
        <v>273</v>
      </c>
      <c r="B67" s="97" t="s">
        <v>204</v>
      </c>
      <c r="C67" s="102">
        <v>0.14</v>
      </c>
      <c r="D67" s="107">
        <v>0.117</v>
      </c>
      <c r="E67" s="107">
        <v>0.136</v>
      </c>
      <c r="F67" s="97" t="s">
        <v>199</v>
      </c>
      <c r="G67" s="16">
        <v>0.01</v>
      </c>
      <c r="H67" s="16" t="s">
        <v>148</v>
      </c>
      <c r="I67" s="16" t="s">
        <v>113</v>
      </c>
      <c r="J67" s="16" t="s">
        <v>274</v>
      </c>
      <c r="K67" s="98" t="s">
        <v>275</v>
      </c>
      <c r="L67" s="16">
        <v>10.0</v>
      </c>
      <c r="M67" s="16">
        <v>220.0</v>
      </c>
      <c r="N67" s="16">
        <v>23.6</v>
      </c>
      <c r="O67" s="34">
        <f t="shared" si="23"/>
        <v>196.4</v>
      </c>
      <c r="P67" s="16">
        <f>1286.35-1363.63-2065.85</f>
        <v>-2143.13</v>
      </c>
      <c r="Q67" s="143">
        <f t="shared" si="24"/>
        <v>-1946.73</v>
      </c>
      <c r="R67" s="16" t="s">
        <v>276</v>
      </c>
      <c r="S67" s="102">
        <v>0.84</v>
      </c>
      <c r="T67" s="102">
        <v>0.83</v>
      </c>
      <c r="U67" s="16">
        <v>1778.0</v>
      </c>
      <c r="V67" s="102">
        <v>0.11</v>
      </c>
      <c r="W67" s="102">
        <v>0.12</v>
      </c>
    </row>
    <row r="68">
      <c r="B68" s="103"/>
    </row>
    <row r="69">
      <c r="A69" s="20">
        <v>45240.0</v>
      </c>
      <c r="B69" s="97" t="s">
        <v>60</v>
      </c>
      <c r="C69" s="102">
        <v>0.14</v>
      </c>
      <c r="D69" s="107">
        <v>0.174</v>
      </c>
      <c r="E69" s="107">
        <v>0.205</v>
      </c>
      <c r="F69" s="97" t="s">
        <v>269</v>
      </c>
      <c r="G69" s="16">
        <v>0.01</v>
      </c>
      <c r="H69" s="16" t="s">
        <v>112</v>
      </c>
      <c r="I69" s="16" t="s">
        <v>113</v>
      </c>
      <c r="J69" s="16" t="s">
        <v>277</v>
      </c>
      <c r="K69" s="16">
        <v>190.0</v>
      </c>
      <c r="L69" s="16">
        <v>1.0</v>
      </c>
      <c r="M69" s="16">
        <v>259.0</v>
      </c>
      <c r="N69" s="16">
        <v>1.03</v>
      </c>
      <c r="O69" s="34">
        <f t="shared" ref="O69:O72" si="25">M69-N69</f>
        <v>257.97</v>
      </c>
      <c r="Q69" s="129">
        <f t="shared" ref="Q69:Q72" si="26">sum(O69:P69)</f>
        <v>257.97</v>
      </c>
      <c r="R69" s="16" t="s">
        <v>255</v>
      </c>
      <c r="S69" s="102">
        <v>0.7</v>
      </c>
      <c r="T69" s="102">
        <v>0.61</v>
      </c>
    </row>
    <row r="70">
      <c r="A70" s="20">
        <v>45259.0</v>
      </c>
      <c r="B70" s="97" t="s">
        <v>59</v>
      </c>
      <c r="C70" s="102">
        <v>0.12</v>
      </c>
      <c r="D70" s="102">
        <v>0.39</v>
      </c>
      <c r="E70" s="102">
        <v>0.63</v>
      </c>
      <c r="F70" s="97" t="s">
        <v>269</v>
      </c>
      <c r="H70" s="16" t="s">
        <v>112</v>
      </c>
      <c r="I70" s="16" t="s">
        <v>113</v>
      </c>
      <c r="J70" s="16" t="s">
        <v>277</v>
      </c>
      <c r="K70" s="16">
        <v>110.0</v>
      </c>
      <c r="L70" s="16">
        <v>2.0</v>
      </c>
      <c r="M70" s="16">
        <v>272.0</v>
      </c>
      <c r="N70" s="16">
        <v>0.71</v>
      </c>
      <c r="O70" s="34">
        <f t="shared" si="25"/>
        <v>271.29</v>
      </c>
      <c r="Q70" s="129">
        <f t="shared" si="26"/>
        <v>271.29</v>
      </c>
      <c r="S70" s="102">
        <v>0.79</v>
      </c>
      <c r="T70" s="102">
        <v>0.75</v>
      </c>
    </row>
    <row r="71">
      <c r="A71" s="20">
        <v>45259.0</v>
      </c>
      <c r="B71" s="97" t="s">
        <v>54</v>
      </c>
      <c r="C71" s="102">
        <v>0.12</v>
      </c>
      <c r="D71" s="102">
        <v>0.2</v>
      </c>
      <c r="E71" s="102">
        <v>0.31</v>
      </c>
      <c r="F71" s="97" t="s">
        <v>269</v>
      </c>
      <c r="H71" s="16" t="s">
        <v>116</v>
      </c>
      <c r="I71" s="16" t="s">
        <v>113</v>
      </c>
      <c r="J71" s="16" t="s">
        <v>277</v>
      </c>
      <c r="K71" s="16">
        <v>135.0</v>
      </c>
      <c r="L71" s="16">
        <v>1.0</v>
      </c>
      <c r="M71" s="16">
        <v>214.0</v>
      </c>
      <c r="N71" s="16">
        <v>1.03</v>
      </c>
      <c r="O71" s="34">
        <f t="shared" si="25"/>
        <v>212.97</v>
      </c>
      <c r="Q71" s="129">
        <f t="shared" si="26"/>
        <v>212.97</v>
      </c>
      <c r="R71" s="16" t="s">
        <v>255</v>
      </c>
      <c r="S71" s="102">
        <v>0.66</v>
      </c>
      <c r="T71" s="102">
        <v>0.52</v>
      </c>
    </row>
    <row r="72">
      <c r="A72" s="20">
        <v>45259.0</v>
      </c>
      <c r="B72" s="97" t="s">
        <v>204</v>
      </c>
      <c r="C72" s="102">
        <v>0.12</v>
      </c>
      <c r="D72" s="107">
        <v>0.113</v>
      </c>
      <c r="E72" s="107">
        <v>0.117</v>
      </c>
      <c r="F72" s="97" t="s">
        <v>199</v>
      </c>
      <c r="G72" s="16">
        <v>0.02</v>
      </c>
      <c r="H72" s="16" t="s">
        <v>160</v>
      </c>
      <c r="I72" s="16" t="s">
        <v>113</v>
      </c>
      <c r="J72" s="16" t="s">
        <v>277</v>
      </c>
      <c r="K72" s="98" t="s">
        <v>278</v>
      </c>
      <c r="L72" s="16">
        <v>10.0</v>
      </c>
      <c r="M72" s="16">
        <v>310.0</v>
      </c>
      <c r="N72" s="16">
        <v>17.82</v>
      </c>
      <c r="O72" s="34">
        <f t="shared" si="25"/>
        <v>292.18</v>
      </c>
      <c r="P72" s="16">
        <f>4.9*200-0.89-6.91*200-0.88+483-684-0.45-0.44+481-0.45-682-0.44+200*4.88-0.69-200*6.84-0.68+300*4.89-0.92-300*6.84-0.9+470-666-0.7-0.69</f>
        <v>-1985.13</v>
      </c>
      <c r="Q72" s="134">
        <f t="shared" si="26"/>
        <v>-1692.95</v>
      </c>
      <c r="S72" s="102">
        <v>0.83</v>
      </c>
      <c r="T72" s="102">
        <v>0.83</v>
      </c>
      <c r="U72" s="16">
        <v>1675.0</v>
      </c>
      <c r="V72" s="102">
        <v>0.13</v>
      </c>
      <c r="W72" s="102">
        <v>0.19</v>
      </c>
    </row>
    <row r="73">
      <c r="B73" s="103"/>
      <c r="Q73" s="131"/>
    </row>
    <row r="74">
      <c r="A74" s="20">
        <v>45268.0</v>
      </c>
      <c r="B74" s="97" t="s">
        <v>58</v>
      </c>
      <c r="C74" s="107">
        <v>0.125</v>
      </c>
      <c r="D74" s="102">
        <v>0.48</v>
      </c>
      <c r="E74" s="102">
        <v>0.73</v>
      </c>
      <c r="F74" s="97" t="s">
        <v>199</v>
      </c>
      <c r="G74" s="16">
        <v>0.1</v>
      </c>
      <c r="H74" s="16" t="s">
        <v>116</v>
      </c>
      <c r="I74" s="16" t="s">
        <v>113</v>
      </c>
      <c r="J74" s="16" t="s">
        <v>279</v>
      </c>
      <c r="K74" s="16">
        <v>17.5</v>
      </c>
      <c r="L74" s="16">
        <v>4.0</v>
      </c>
      <c r="M74" s="16">
        <v>200.0</v>
      </c>
      <c r="N74" s="16">
        <f>1.23</f>
        <v>1.23</v>
      </c>
      <c r="O74" s="34">
        <f t="shared" ref="O74:O77" si="27">M74-N74</f>
        <v>198.77</v>
      </c>
      <c r="Q74" s="129">
        <f t="shared" ref="Q74:Q77" si="28">sum(O74:P74)</f>
        <v>198.77</v>
      </c>
      <c r="R74" s="16" t="s">
        <v>280</v>
      </c>
      <c r="S74" s="102">
        <v>0.78</v>
      </c>
    </row>
    <row r="75">
      <c r="A75" s="20">
        <v>45278.0</v>
      </c>
      <c r="B75" s="97" t="s">
        <v>59</v>
      </c>
      <c r="H75" s="16" t="s">
        <v>116</v>
      </c>
      <c r="I75" s="16" t="s">
        <v>113</v>
      </c>
      <c r="J75" s="16" t="s">
        <v>279</v>
      </c>
      <c r="K75" s="16">
        <v>97.0</v>
      </c>
      <c r="L75" s="16">
        <v>1.0</v>
      </c>
      <c r="M75" s="16">
        <v>220.0</v>
      </c>
      <c r="N75" s="16">
        <v>0.04</v>
      </c>
      <c r="O75" s="34">
        <f t="shared" si="27"/>
        <v>219.96</v>
      </c>
      <c r="Q75" s="129">
        <f t="shared" si="28"/>
        <v>219.96</v>
      </c>
      <c r="R75" s="16" t="s">
        <v>280</v>
      </c>
    </row>
    <row r="76">
      <c r="A76" s="20">
        <v>45278.0</v>
      </c>
      <c r="B76" s="97" t="s">
        <v>60</v>
      </c>
      <c r="H76" s="16" t="s">
        <v>281</v>
      </c>
      <c r="I76" s="16" t="s">
        <v>282</v>
      </c>
      <c r="J76" s="16" t="s">
        <v>279</v>
      </c>
      <c r="K76" s="16" t="s">
        <v>283</v>
      </c>
      <c r="L76" s="16">
        <v>1.0</v>
      </c>
      <c r="M76" s="8">
        <f>136-282+924.94</f>
        <v>778.94</v>
      </c>
      <c r="N76" s="16">
        <v>2.09</v>
      </c>
      <c r="O76" s="34">
        <f t="shared" si="27"/>
        <v>776.85</v>
      </c>
      <c r="Q76" s="129">
        <f t="shared" si="28"/>
        <v>776.85</v>
      </c>
      <c r="R76" s="16" t="s">
        <v>284</v>
      </c>
    </row>
    <row r="77">
      <c r="A77" s="20">
        <v>45278.0</v>
      </c>
      <c r="B77" s="97" t="s">
        <v>54</v>
      </c>
      <c r="H77" s="16" t="s">
        <v>112</v>
      </c>
      <c r="I77" s="16" t="s">
        <v>113</v>
      </c>
      <c r="J77" s="16" t="s">
        <v>279</v>
      </c>
      <c r="K77" s="16">
        <v>140.0</v>
      </c>
      <c r="L77" s="16">
        <v>1.0</v>
      </c>
      <c r="M77" s="16">
        <v>234.0</v>
      </c>
      <c r="N77" s="16">
        <v>1.03</v>
      </c>
      <c r="O77" s="34">
        <f t="shared" si="27"/>
        <v>232.97</v>
      </c>
      <c r="Q77" s="129">
        <f t="shared" si="28"/>
        <v>232.97</v>
      </c>
      <c r="R77" s="16" t="s">
        <v>251</v>
      </c>
    </row>
    <row r="79">
      <c r="A79" s="144" t="s">
        <v>285</v>
      </c>
      <c r="B79" s="103"/>
      <c r="F79" s="22"/>
      <c r="P79" s="22"/>
      <c r="Q79" s="41"/>
    </row>
    <row r="80">
      <c r="A80" s="15">
        <v>45323.0</v>
      </c>
      <c r="B80" s="97" t="s">
        <v>60</v>
      </c>
    </row>
    <row r="81">
      <c r="A81" s="15">
        <v>45323.0</v>
      </c>
      <c r="B81" s="97" t="s">
        <v>54</v>
      </c>
    </row>
    <row r="82">
      <c r="A82" s="15">
        <v>45337.0</v>
      </c>
      <c r="B82" s="97" t="s">
        <v>59</v>
      </c>
    </row>
    <row r="83">
      <c r="A83" s="15"/>
      <c r="B83" s="97"/>
    </row>
    <row r="84">
      <c r="G84" s="41"/>
      <c r="H84" s="41"/>
    </row>
    <row r="86">
      <c r="G86" s="41"/>
    </row>
    <row r="87">
      <c r="B87" s="103"/>
    </row>
    <row r="88">
      <c r="B88" s="103"/>
    </row>
    <row r="89">
      <c r="B89" s="103"/>
    </row>
    <row r="90">
      <c r="B90" s="103"/>
    </row>
    <row r="91">
      <c r="B91" s="103"/>
    </row>
    <row r="92">
      <c r="B92" s="103"/>
    </row>
    <row r="93">
      <c r="B93" s="103"/>
    </row>
    <row r="94">
      <c r="B94" s="103"/>
    </row>
    <row r="95">
      <c r="B95" s="103"/>
    </row>
    <row r="96">
      <c r="B96" s="103"/>
    </row>
    <row r="97">
      <c r="B97" s="103"/>
    </row>
    <row r="98">
      <c r="B98" s="103"/>
    </row>
    <row r="99">
      <c r="B99" s="103"/>
    </row>
    <row r="100">
      <c r="B100" s="103"/>
    </row>
    <row r="101">
      <c r="B101" s="103"/>
    </row>
    <row r="102">
      <c r="B102" s="103"/>
    </row>
    <row r="103">
      <c r="B103" s="103"/>
    </row>
    <row r="104">
      <c r="B104" s="103"/>
    </row>
    <row r="105">
      <c r="B105" s="103"/>
    </row>
    <row r="106">
      <c r="B106" s="103"/>
    </row>
    <row r="107">
      <c r="B107" s="103"/>
    </row>
    <row r="108">
      <c r="B108" s="103"/>
    </row>
    <row r="109">
      <c r="B109" s="103"/>
    </row>
    <row r="110">
      <c r="B110" s="103"/>
    </row>
    <row r="111">
      <c r="B111" s="103"/>
    </row>
    <row r="112">
      <c r="B112" s="103"/>
    </row>
    <row r="113">
      <c r="B113" s="103"/>
    </row>
    <row r="114">
      <c r="B114" s="103"/>
    </row>
    <row r="115">
      <c r="B115" s="103"/>
    </row>
    <row r="116">
      <c r="B116" s="103"/>
    </row>
    <row r="117">
      <c r="B117" s="103"/>
    </row>
    <row r="118">
      <c r="B118" s="103"/>
    </row>
    <row r="119">
      <c r="B119" s="103"/>
    </row>
    <row r="120">
      <c r="B120" s="103"/>
    </row>
    <row r="121">
      <c r="B121" s="103"/>
    </row>
    <row r="122">
      <c r="B122" s="103"/>
    </row>
    <row r="123">
      <c r="B123" s="103"/>
    </row>
    <row r="124">
      <c r="B124" s="103"/>
    </row>
    <row r="125">
      <c r="B125" s="103"/>
    </row>
    <row r="126">
      <c r="B126" s="103"/>
    </row>
    <row r="127">
      <c r="B127" s="103"/>
    </row>
    <row r="128">
      <c r="B128" s="103"/>
    </row>
    <row r="129">
      <c r="B129" s="103"/>
    </row>
    <row r="130">
      <c r="B130" s="103"/>
    </row>
    <row r="131">
      <c r="B131" s="103"/>
    </row>
    <row r="132">
      <c r="B132" s="103"/>
    </row>
    <row r="133">
      <c r="B133" s="103"/>
    </row>
    <row r="134">
      <c r="B134" s="103"/>
    </row>
    <row r="135">
      <c r="B135" s="103"/>
    </row>
    <row r="136">
      <c r="B136" s="103"/>
    </row>
    <row r="137">
      <c r="B137" s="103"/>
    </row>
    <row r="138">
      <c r="B138" s="103"/>
    </row>
    <row r="139">
      <c r="B139" s="103"/>
    </row>
    <row r="140">
      <c r="B140" s="103"/>
    </row>
    <row r="141">
      <c r="B141" s="103"/>
    </row>
    <row r="142">
      <c r="B142" s="103"/>
    </row>
    <row r="143">
      <c r="B143" s="103"/>
    </row>
    <row r="144">
      <c r="B144" s="103"/>
    </row>
    <row r="145">
      <c r="B145" s="103"/>
    </row>
    <row r="146">
      <c r="B146" s="103"/>
    </row>
    <row r="147">
      <c r="B147" s="103"/>
    </row>
    <row r="148">
      <c r="B148" s="103"/>
    </row>
    <row r="149">
      <c r="B149" s="103"/>
    </row>
    <row r="150">
      <c r="B150" s="103"/>
    </row>
    <row r="151">
      <c r="B151" s="103"/>
    </row>
    <row r="152">
      <c r="B152" s="103"/>
    </row>
    <row r="153">
      <c r="B153" s="103"/>
    </row>
    <row r="154">
      <c r="B154" s="103"/>
    </row>
    <row r="155">
      <c r="B155" s="103"/>
    </row>
    <row r="156">
      <c r="B156" s="103"/>
    </row>
    <row r="157">
      <c r="B157" s="103"/>
    </row>
    <row r="158">
      <c r="B158" s="103"/>
    </row>
    <row r="159">
      <c r="B159" s="103"/>
    </row>
    <row r="160">
      <c r="B160" s="103"/>
    </row>
    <row r="161">
      <c r="B161" s="103"/>
    </row>
    <row r="162">
      <c r="B162" s="103"/>
    </row>
    <row r="163">
      <c r="B163" s="103"/>
    </row>
    <row r="164">
      <c r="B164" s="103"/>
    </row>
    <row r="165">
      <c r="B165" s="103"/>
    </row>
    <row r="166">
      <c r="B166" s="103"/>
    </row>
    <row r="167">
      <c r="B167" s="103"/>
    </row>
    <row r="168">
      <c r="B168" s="103"/>
    </row>
    <row r="169">
      <c r="B169" s="103"/>
    </row>
    <row r="170">
      <c r="B170" s="103"/>
    </row>
    <row r="171">
      <c r="B171" s="103"/>
    </row>
    <row r="172">
      <c r="B172" s="103"/>
    </row>
    <row r="173">
      <c r="B173" s="103"/>
    </row>
    <row r="174">
      <c r="B174" s="103"/>
    </row>
    <row r="175">
      <c r="B175" s="103"/>
    </row>
    <row r="176">
      <c r="B176" s="103"/>
    </row>
    <row r="177">
      <c r="B177" s="103"/>
    </row>
    <row r="178">
      <c r="B178" s="103"/>
    </row>
    <row r="179">
      <c r="B179" s="103"/>
    </row>
    <row r="180">
      <c r="B180" s="103"/>
    </row>
    <row r="181">
      <c r="B181" s="103"/>
    </row>
    <row r="182">
      <c r="B182" s="103"/>
    </row>
    <row r="183">
      <c r="B183" s="103"/>
    </row>
    <row r="184">
      <c r="B184" s="103"/>
    </row>
    <row r="185">
      <c r="B185" s="103"/>
    </row>
    <row r="186">
      <c r="B186" s="103"/>
    </row>
    <row r="187">
      <c r="B187" s="103"/>
    </row>
    <row r="188">
      <c r="B188" s="103"/>
    </row>
    <row r="189">
      <c r="B189" s="103"/>
    </row>
    <row r="190">
      <c r="B190" s="103"/>
    </row>
    <row r="191">
      <c r="B191" s="103"/>
    </row>
    <row r="192">
      <c r="B192" s="103"/>
    </row>
    <row r="193">
      <c r="B193" s="103"/>
    </row>
    <row r="194">
      <c r="B194" s="103"/>
    </row>
    <row r="195">
      <c r="B195" s="103"/>
    </row>
    <row r="196">
      <c r="B196" s="103"/>
    </row>
    <row r="197">
      <c r="B197" s="103"/>
    </row>
    <row r="198">
      <c r="B198" s="103"/>
    </row>
    <row r="199">
      <c r="B199" s="103"/>
    </row>
    <row r="200">
      <c r="B200" s="103"/>
    </row>
    <row r="201">
      <c r="B201" s="103"/>
    </row>
    <row r="202">
      <c r="B202" s="103"/>
    </row>
    <row r="203">
      <c r="B203" s="103"/>
    </row>
    <row r="204">
      <c r="B204" s="103"/>
    </row>
    <row r="205">
      <c r="B205" s="103"/>
    </row>
    <row r="206">
      <c r="B206" s="103"/>
    </row>
    <row r="207">
      <c r="B207" s="103"/>
    </row>
    <row r="208">
      <c r="B208" s="103"/>
    </row>
    <row r="209">
      <c r="B209" s="103"/>
    </row>
    <row r="210">
      <c r="B210" s="103"/>
    </row>
    <row r="211">
      <c r="B211" s="103"/>
    </row>
    <row r="212">
      <c r="B212" s="103"/>
    </row>
    <row r="213">
      <c r="B213" s="103"/>
    </row>
    <row r="214">
      <c r="B214" s="103"/>
    </row>
    <row r="215">
      <c r="B215" s="103"/>
    </row>
    <row r="216">
      <c r="B216" s="103"/>
    </row>
    <row r="217">
      <c r="B217" s="103"/>
    </row>
    <row r="218">
      <c r="B218" s="103"/>
    </row>
    <row r="219">
      <c r="B219" s="103"/>
    </row>
    <row r="220">
      <c r="B220" s="103"/>
    </row>
    <row r="221">
      <c r="B221" s="103"/>
    </row>
    <row r="222">
      <c r="B222" s="103"/>
    </row>
    <row r="223">
      <c r="B223" s="103"/>
    </row>
    <row r="224">
      <c r="B224" s="103"/>
    </row>
    <row r="225">
      <c r="B225" s="103"/>
    </row>
    <row r="226">
      <c r="B226" s="103"/>
    </row>
    <row r="227">
      <c r="B227" s="103"/>
    </row>
    <row r="228">
      <c r="B228" s="103"/>
    </row>
    <row r="229">
      <c r="B229" s="103"/>
    </row>
    <row r="230">
      <c r="B230" s="103"/>
    </row>
    <row r="231">
      <c r="B231" s="103"/>
    </row>
    <row r="232">
      <c r="B232" s="103"/>
    </row>
    <row r="233">
      <c r="B233" s="103"/>
    </row>
    <row r="234">
      <c r="B234" s="103"/>
    </row>
    <row r="235">
      <c r="B235" s="103"/>
    </row>
    <row r="236">
      <c r="B236" s="103"/>
    </row>
    <row r="237">
      <c r="B237" s="103"/>
    </row>
    <row r="238">
      <c r="B238" s="103"/>
    </row>
    <row r="239">
      <c r="B239" s="103"/>
    </row>
    <row r="240">
      <c r="B240" s="103"/>
    </row>
    <row r="241">
      <c r="B241" s="103"/>
    </row>
    <row r="242">
      <c r="B242" s="103"/>
    </row>
    <row r="243">
      <c r="B243" s="103"/>
    </row>
    <row r="244">
      <c r="B244" s="103"/>
    </row>
    <row r="245">
      <c r="B245" s="103"/>
    </row>
    <row r="246">
      <c r="B246" s="103"/>
    </row>
    <row r="247">
      <c r="B247" s="103"/>
    </row>
    <row r="248">
      <c r="B248" s="103"/>
    </row>
    <row r="249">
      <c r="B249" s="103"/>
    </row>
    <row r="250">
      <c r="B250" s="103"/>
    </row>
    <row r="251">
      <c r="B251" s="103"/>
    </row>
    <row r="252">
      <c r="B252" s="103"/>
    </row>
    <row r="253">
      <c r="B253" s="103"/>
    </row>
    <row r="254">
      <c r="B254" s="103"/>
    </row>
    <row r="255">
      <c r="B255" s="103"/>
    </row>
    <row r="256">
      <c r="B256" s="103"/>
    </row>
    <row r="257">
      <c r="B257" s="103"/>
    </row>
    <row r="258">
      <c r="B258" s="103"/>
    </row>
    <row r="259">
      <c r="B259" s="103"/>
    </row>
    <row r="260">
      <c r="B260" s="103"/>
    </row>
    <row r="261">
      <c r="B261" s="103"/>
    </row>
    <row r="262">
      <c r="B262" s="103"/>
    </row>
    <row r="263">
      <c r="B263" s="103"/>
    </row>
    <row r="264">
      <c r="B264" s="103"/>
    </row>
    <row r="265">
      <c r="B265" s="103"/>
    </row>
    <row r="266">
      <c r="B266" s="103"/>
    </row>
    <row r="267">
      <c r="B267" s="103"/>
    </row>
    <row r="268">
      <c r="B268" s="103"/>
    </row>
    <row r="269">
      <c r="B269" s="103"/>
    </row>
    <row r="270">
      <c r="B270" s="103"/>
    </row>
    <row r="271">
      <c r="B271" s="103"/>
    </row>
    <row r="272">
      <c r="B272" s="103"/>
    </row>
    <row r="273">
      <c r="B273" s="103"/>
    </row>
    <row r="274">
      <c r="B274" s="103"/>
    </row>
    <row r="275">
      <c r="B275" s="103"/>
    </row>
    <row r="276">
      <c r="B276" s="103"/>
    </row>
    <row r="277">
      <c r="B277" s="103"/>
    </row>
    <row r="278">
      <c r="B278" s="103"/>
    </row>
    <row r="279">
      <c r="B279" s="103"/>
    </row>
    <row r="280">
      <c r="B280" s="103"/>
    </row>
    <row r="281">
      <c r="B281" s="103"/>
    </row>
    <row r="282">
      <c r="B282" s="103"/>
    </row>
    <row r="283">
      <c r="B283" s="103"/>
    </row>
    <row r="284">
      <c r="B284" s="103"/>
    </row>
    <row r="285">
      <c r="B285" s="103"/>
    </row>
    <row r="286">
      <c r="B286" s="103"/>
    </row>
    <row r="287">
      <c r="B287" s="103"/>
    </row>
    <row r="288">
      <c r="B288" s="103"/>
    </row>
    <row r="289">
      <c r="B289" s="103"/>
    </row>
    <row r="290">
      <c r="B290" s="103"/>
    </row>
    <row r="291">
      <c r="B291" s="103"/>
    </row>
    <row r="292">
      <c r="B292" s="103"/>
    </row>
    <row r="293">
      <c r="B293" s="103"/>
    </row>
    <row r="294">
      <c r="B294" s="103"/>
    </row>
    <row r="295">
      <c r="B295" s="103"/>
    </row>
    <row r="296">
      <c r="B296" s="103"/>
    </row>
    <row r="297">
      <c r="B297" s="103"/>
    </row>
    <row r="298">
      <c r="B298" s="103"/>
    </row>
    <row r="299">
      <c r="B299" s="103"/>
    </row>
    <row r="300">
      <c r="B300" s="103"/>
    </row>
    <row r="301">
      <c r="B301" s="103"/>
    </row>
    <row r="302">
      <c r="B302" s="103"/>
    </row>
    <row r="303">
      <c r="B303" s="103"/>
    </row>
    <row r="304">
      <c r="B304" s="103"/>
    </row>
    <row r="305">
      <c r="B305" s="103"/>
    </row>
    <row r="306">
      <c r="B306" s="103"/>
    </row>
    <row r="307">
      <c r="B307" s="103"/>
    </row>
    <row r="308">
      <c r="B308" s="103"/>
    </row>
    <row r="309">
      <c r="B309" s="103"/>
    </row>
    <row r="310">
      <c r="B310" s="103"/>
    </row>
    <row r="311">
      <c r="B311" s="103"/>
    </row>
    <row r="312">
      <c r="B312" s="103"/>
    </row>
    <row r="313">
      <c r="B313" s="103"/>
    </row>
    <row r="314">
      <c r="B314" s="103"/>
    </row>
    <row r="315">
      <c r="B315" s="103"/>
    </row>
    <row r="316">
      <c r="B316" s="103"/>
    </row>
    <row r="317">
      <c r="B317" s="103"/>
    </row>
    <row r="318">
      <c r="B318" s="103"/>
    </row>
    <row r="319">
      <c r="B319" s="103"/>
    </row>
    <row r="320">
      <c r="B320" s="103"/>
    </row>
    <row r="321">
      <c r="B321" s="103"/>
    </row>
    <row r="322">
      <c r="B322" s="103"/>
    </row>
    <row r="323">
      <c r="B323" s="103"/>
    </row>
    <row r="324">
      <c r="B324" s="103"/>
    </row>
    <row r="325">
      <c r="B325" s="103"/>
    </row>
    <row r="326">
      <c r="B326" s="103"/>
    </row>
    <row r="327">
      <c r="B327" s="103"/>
    </row>
    <row r="328">
      <c r="B328" s="103"/>
    </row>
    <row r="329">
      <c r="B329" s="103"/>
    </row>
    <row r="330">
      <c r="B330" s="103"/>
    </row>
    <row r="331">
      <c r="B331" s="103"/>
    </row>
    <row r="332">
      <c r="B332" s="103"/>
    </row>
    <row r="333">
      <c r="B333" s="103"/>
    </row>
    <row r="334">
      <c r="B334" s="103"/>
    </row>
    <row r="335">
      <c r="B335" s="103"/>
    </row>
    <row r="336">
      <c r="B336" s="103"/>
    </row>
    <row r="337">
      <c r="B337" s="103"/>
    </row>
    <row r="338">
      <c r="B338" s="103"/>
    </row>
    <row r="339">
      <c r="B339" s="103"/>
    </row>
    <row r="340">
      <c r="B340" s="103"/>
    </row>
    <row r="341">
      <c r="B341" s="103"/>
    </row>
    <row r="342">
      <c r="B342" s="103"/>
    </row>
    <row r="343">
      <c r="B343" s="103"/>
    </row>
    <row r="344">
      <c r="B344" s="103"/>
    </row>
    <row r="345">
      <c r="B345" s="103"/>
    </row>
    <row r="346">
      <c r="B346" s="103"/>
    </row>
    <row r="347">
      <c r="B347" s="103"/>
    </row>
    <row r="348">
      <c r="B348" s="103"/>
    </row>
    <row r="349">
      <c r="B349" s="103"/>
    </row>
    <row r="350">
      <c r="B350" s="103"/>
    </row>
    <row r="351">
      <c r="B351" s="103"/>
    </row>
    <row r="352">
      <c r="B352" s="103"/>
    </row>
    <row r="353">
      <c r="B353" s="103"/>
    </row>
    <row r="354">
      <c r="B354" s="103"/>
    </row>
    <row r="355">
      <c r="B355" s="103"/>
    </row>
    <row r="356">
      <c r="B356" s="103"/>
    </row>
    <row r="357">
      <c r="B357" s="103"/>
    </row>
    <row r="358">
      <c r="B358" s="103"/>
    </row>
    <row r="359">
      <c r="B359" s="103"/>
    </row>
    <row r="360">
      <c r="B360" s="103"/>
    </row>
    <row r="361">
      <c r="B361" s="103"/>
    </row>
    <row r="362">
      <c r="B362" s="103"/>
    </row>
    <row r="363">
      <c r="B363" s="103"/>
    </row>
    <row r="364">
      <c r="B364" s="103"/>
    </row>
    <row r="365">
      <c r="B365" s="103"/>
    </row>
    <row r="366">
      <c r="B366" s="103"/>
    </row>
    <row r="367">
      <c r="B367" s="103"/>
    </row>
    <row r="368">
      <c r="B368" s="103"/>
    </row>
    <row r="369">
      <c r="B369" s="103"/>
    </row>
    <row r="370">
      <c r="B370" s="103"/>
    </row>
    <row r="371">
      <c r="B371" s="103"/>
    </row>
    <row r="372">
      <c r="B372" s="103"/>
    </row>
    <row r="373">
      <c r="B373" s="103"/>
    </row>
    <row r="374">
      <c r="B374" s="103"/>
    </row>
    <row r="375">
      <c r="B375" s="103"/>
    </row>
    <row r="376">
      <c r="B376" s="103"/>
    </row>
    <row r="377">
      <c r="B377" s="103"/>
    </row>
    <row r="378">
      <c r="B378" s="103"/>
    </row>
    <row r="379">
      <c r="B379" s="103"/>
    </row>
    <row r="380">
      <c r="B380" s="103"/>
    </row>
    <row r="381">
      <c r="B381" s="103"/>
    </row>
    <row r="382">
      <c r="B382" s="103"/>
    </row>
    <row r="383">
      <c r="B383" s="103"/>
    </row>
    <row r="384">
      <c r="B384" s="103"/>
    </row>
    <row r="385">
      <c r="B385" s="103"/>
    </row>
    <row r="386">
      <c r="B386" s="103"/>
    </row>
    <row r="387">
      <c r="B387" s="103"/>
    </row>
    <row r="388">
      <c r="B388" s="103"/>
    </row>
    <row r="389">
      <c r="B389" s="103"/>
    </row>
    <row r="390">
      <c r="B390" s="103"/>
    </row>
    <row r="391">
      <c r="B391" s="103"/>
    </row>
    <row r="392">
      <c r="B392" s="103"/>
    </row>
    <row r="393">
      <c r="B393" s="103"/>
    </row>
    <row r="394">
      <c r="B394" s="103"/>
    </row>
    <row r="395">
      <c r="B395" s="103"/>
    </row>
    <row r="396">
      <c r="B396" s="103"/>
    </row>
    <row r="397">
      <c r="B397" s="103"/>
    </row>
    <row r="398">
      <c r="B398" s="103"/>
    </row>
    <row r="399">
      <c r="B399" s="103"/>
    </row>
    <row r="400">
      <c r="B400" s="103"/>
    </row>
    <row r="401">
      <c r="B401" s="103"/>
    </row>
    <row r="402">
      <c r="B402" s="103"/>
    </row>
    <row r="403">
      <c r="B403" s="103"/>
    </row>
    <row r="404">
      <c r="B404" s="103"/>
    </row>
    <row r="405">
      <c r="B405" s="103"/>
    </row>
    <row r="406">
      <c r="B406" s="103"/>
    </row>
    <row r="407">
      <c r="B407" s="103"/>
    </row>
    <row r="408">
      <c r="B408" s="103"/>
    </row>
    <row r="409">
      <c r="B409" s="103"/>
    </row>
    <row r="410">
      <c r="B410" s="103"/>
    </row>
    <row r="411">
      <c r="B411" s="103"/>
    </row>
    <row r="412">
      <c r="B412" s="103"/>
    </row>
    <row r="413">
      <c r="B413" s="103"/>
    </row>
    <row r="414">
      <c r="B414" s="103"/>
    </row>
    <row r="415">
      <c r="B415" s="103"/>
    </row>
    <row r="416">
      <c r="B416" s="103"/>
    </row>
    <row r="417">
      <c r="B417" s="103"/>
    </row>
    <row r="418">
      <c r="B418" s="103"/>
    </row>
    <row r="419">
      <c r="B419" s="103"/>
    </row>
    <row r="420">
      <c r="B420" s="103"/>
    </row>
    <row r="421">
      <c r="B421" s="103"/>
    </row>
    <row r="422">
      <c r="B422" s="103"/>
    </row>
    <row r="423">
      <c r="B423" s="103"/>
    </row>
    <row r="424">
      <c r="B424" s="103"/>
    </row>
    <row r="425">
      <c r="B425" s="103"/>
    </row>
    <row r="426">
      <c r="B426" s="103"/>
    </row>
    <row r="427">
      <c r="B427" s="103"/>
    </row>
    <row r="428">
      <c r="B428" s="103"/>
    </row>
    <row r="429">
      <c r="B429" s="103"/>
    </row>
    <row r="430">
      <c r="B430" s="103"/>
    </row>
    <row r="431">
      <c r="B431" s="103"/>
    </row>
    <row r="432">
      <c r="B432" s="103"/>
    </row>
    <row r="433">
      <c r="B433" s="103"/>
    </row>
    <row r="434">
      <c r="B434" s="103"/>
    </row>
    <row r="435">
      <c r="B435" s="103"/>
    </row>
    <row r="436">
      <c r="B436" s="103"/>
    </row>
    <row r="437">
      <c r="B437" s="103"/>
    </row>
    <row r="438">
      <c r="B438" s="103"/>
    </row>
    <row r="439">
      <c r="B439" s="103"/>
    </row>
    <row r="440">
      <c r="B440" s="103"/>
    </row>
    <row r="441">
      <c r="B441" s="103"/>
    </row>
    <row r="442">
      <c r="B442" s="103"/>
    </row>
    <row r="443">
      <c r="B443" s="103"/>
    </row>
    <row r="444">
      <c r="B444" s="103"/>
    </row>
    <row r="445">
      <c r="B445" s="103"/>
    </row>
    <row r="446">
      <c r="B446" s="103"/>
    </row>
    <row r="447">
      <c r="B447" s="103"/>
    </row>
    <row r="448">
      <c r="B448" s="103"/>
    </row>
    <row r="449">
      <c r="B449" s="103"/>
    </row>
    <row r="450">
      <c r="B450" s="103"/>
    </row>
    <row r="451">
      <c r="B451" s="103"/>
    </row>
    <row r="452">
      <c r="B452" s="103"/>
    </row>
    <row r="453">
      <c r="B453" s="103"/>
    </row>
    <row r="454">
      <c r="B454" s="103"/>
    </row>
    <row r="455">
      <c r="B455" s="103"/>
    </row>
    <row r="456">
      <c r="B456" s="103"/>
    </row>
    <row r="457">
      <c r="B457" s="103"/>
    </row>
    <row r="458">
      <c r="B458" s="103"/>
    </row>
    <row r="459">
      <c r="B459" s="103"/>
    </row>
    <row r="460">
      <c r="B460" s="103"/>
    </row>
    <row r="461">
      <c r="B461" s="103"/>
    </row>
    <row r="462">
      <c r="B462" s="103"/>
    </row>
    <row r="463">
      <c r="B463" s="103"/>
    </row>
    <row r="464">
      <c r="B464" s="103"/>
    </row>
    <row r="465">
      <c r="B465" s="103"/>
    </row>
    <row r="466">
      <c r="B466" s="103"/>
    </row>
    <row r="467">
      <c r="B467" s="103"/>
    </row>
    <row r="468">
      <c r="B468" s="103"/>
    </row>
    <row r="469">
      <c r="B469" s="103"/>
    </row>
    <row r="470">
      <c r="B470" s="103"/>
    </row>
    <row r="471">
      <c r="B471" s="103"/>
    </row>
    <row r="472">
      <c r="B472" s="103"/>
    </row>
    <row r="473">
      <c r="B473" s="103"/>
    </row>
    <row r="474">
      <c r="B474" s="103"/>
    </row>
    <row r="475">
      <c r="B475" s="103"/>
    </row>
    <row r="476">
      <c r="B476" s="103"/>
    </row>
    <row r="477">
      <c r="B477" s="103"/>
    </row>
    <row r="478">
      <c r="B478" s="103"/>
    </row>
    <row r="479">
      <c r="B479" s="103"/>
    </row>
    <row r="480">
      <c r="B480" s="103"/>
    </row>
    <row r="481">
      <c r="B481" s="103"/>
    </row>
    <row r="482">
      <c r="B482" s="103"/>
    </row>
    <row r="483">
      <c r="B483" s="103"/>
    </row>
    <row r="484">
      <c r="B484" s="103"/>
    </row>
    <row r="485">
      <c r="B485" s="103"/>
    </row>
    <row r="486">
      <c r="B486" s="103"/>
    </row>
    <row r="487">
      <c r="B487" s="103"/>
    </row>
    <row r="488">
      <c r="B488" s="103"/>
    </row>
    <row r="489">
      <c r="B489" s="103"/>
    </row>
    <row r="490">
      <c r="B490" s="103"/>
    </row>
    <row r="491">
      <c r="B491" s="103"/>
    </row>
    <row r="492">
      <c r="B492" s="103"/>
    </row>
    <row r="493">
      <c r="B493" s="103"/>
    </row>
    <row r="494">
      <c r="B494" s="103"/>
    </row>
    <row r="495">
      <c r="B495" s="103"/>
    </row>
    <row r="496">
      <c r="B496" s="103"/>
    </row>
    <row r="497">
      <c r="B497" s="103"/>
    </row>
    <row r="498">
      <c r="B498" s="103"/>
    </row>
    <row r="499">
      <c r="B499" s="103"/>
    </row>
    <row r="500">
      <c r="B500" s="103"/>
    </row>
    <row r="501">
      <c r="B501" s="103"/>
    </row>
    <row r="502">
      <c r="B502" s="103"/>
    </row>
    <row r="503">
      <c r="B503" s="103"/>
    </row>
    <row r="504">
      <c r="B504" s="103"/>
    </row>
    <row r="505">
      <c r="B505" s="103"/>
    </row>
    <row r="506">
      <c r="B506" s="103"/>
    </row>
    <row r="507">
      <c r="B507" s="103"/>
    </row>
    <row r="508">
      <c r="B508" s="103"/>
    </row>
    <row r="509">
      <c r="B509" s="103"/>
    </row>
    <row r="510">
      <c r="B510" s="103"/>
    </row>
    <row r="511">
      <c r="B511" s="103"/>
    </row>
    <row r="512">
      <c r="B512" s="103"/>
    </row>
    <row r="513">
      <c r="B513" s="103"/>
    </row>
    <row r="514">
      <c r="B514" s="103"/>
    </row>
    <row r="515">
      <c r="B515" s="103"/>
    </row>
    <row r="516">
      <c r="B516" s="103"/>
    </row>
    <row r="517">
      <c r="B517" s="103"/>
    </row>
    <row r="518">
      <c r="B518" s="103"/>
    </row>
    <row r="519">
      <c r="B519" s="103"/>
    </row>
    <row r="520">
      <c r="B520" s="103"/>
    </row>
    <row r="521">
      <c r="B521" s="103"/>
    </row>
    <row r="522">
      <c r="B522" s="103"/>
    </row>
    <row r="523">
      <c r="B523" s="103"/>
    </row>
    <row r="524">
      <c r="B524" s="103"/>
    </row>
    <row r="525">
      <c r="B525" s="103"/>
    </row>
    <row r="526">
      <c r="B526" s="103"/>
    </row>
    <row r="527">
      <c r="B527" s="103"/>
    </row>
    <row r="528">
      <c r="B528" s="103"/>
    </row>
    <row r="529">
      <c r="B529" s="103"/>
    </row>
    <row r="530">
      <c r="B530" s="103"/>
    </row>
    <row r="531">
      <c r="B531" s="103"/>
    </row>
    <row r="532">
      <c r="B532" s="103"/>
    </row>
    <row r="533">
      <c r="B533" s="103"/>
    </row>
    <row r="534">
      <c r="B534" s="103"/>
    </row>
    <row r="535">
      <c r="B535" s="103"/>
    </row>
    <row r="536">
      <c r="B536" s="103"/>
    </row>
    <row r="537">
      <c r="B537" s="103"/>
    </row>
    <row r="538">
      <c r="B538" s="103"/>
    </row>
    <row r="539">
      <c r="B539" s="103"/>
    </row>
    <row r="540">
      <c r="B540" s="103"/>
    </row>
    <row r="541">
      <c r="B541" s="103"/>
    </row>
    <row r="542">
      <c r="B542" s="103"/>
    </row>
    <row r="543">
      <c r="B543" s="103"/>
    </row>
    <row r="544">
      <c r="B544" s="103"/>
    </row>
    <row r="545">
      <c r="B545" s="103"/>
    </row>
    <row r="546">
      <c r="B546" s="103"/>
    </row>
    <row r="547">
      <c r="B547" s="103"/>
    </row>
    <row r="548">
      <c r="B548" s="103"/>
    </row>
    <row r="549">
      <c r="B549" s="103"/>
    </row>
    <row r="550">
      <c r="B550" s="103"/>
    </row>
    <row r="551">
      <c r="B551" s="103"/>
    </row>
    <row r="552">
      <c r="B552" s="103"/>
    </row>
    <row r="553">
      <c r="B553" s="103"/>
    </row>
    <row r="554">
      <c r="B554" s="103"/>
    </row>
    <row r="555">
      <c r="B555" s="103"/>
    </row>
    <row r="556">
      <c r="B556" s="103"/>
    </row>
    <row r="557">
      <c r="B557" s="103"/>
    </row>
    <row r="558">
      <c r="B558" s="103"/>
    </row>
    <row r="559">
      <c r="B559" s="103"/>
    </row>
    <row r="560">
      <c r="B560" s="103"/>
    </row>
    <row r="561">
      <c r="B561" s="103"/>
    </row>
    <row r="562">
      <c r="B562" s="103"/>
    </row>
    <row r="563">
      <c r="B563" s="103"/>
    </row>
    <row r="564">
      <c r="B564" s="103"/>
    </row>
    <row r="565">
      <c r="B565" s="103"/>
    </row>
    <row r="566">
      <c r="B566" s="103"/>
    </row>
    <row r="567">
      <c r="B567" s="103"/>
    </row>
    <row r="568">
      <c r="B568" s="103"/>
    </row>
    <row r="569">
      <c r="B569" s="103"/>
    </row>
    <row r="570">
      <c r="B570" s="103"/>
    </row>
    <row r="571">
      <c r="B571" s="103"/>
    </row>
    <row r="572">
      <c r="B572" s="103"/>
    </row>
    <row r="573">
      <c r="B573" s="103"/>
    </row>
    <row r="574">
      <c r="B574" s="103"/>
    </row>
    <row r="575">
      <c r="B575" s="103"/>
    </row>
    <row r="576">
      <c r="B576" s="103"/>
    </row>
    <row r="577">
      <c r="B577" s="103"/>
    </row>
    <row r="578">
      <c r="B578" s="103"/>
    </row>
    <row r="579">
      <c r="B579" s="103"/>
    </row>
    <row r="580">
      <c r="B580" s="103"/>
    </row>
    <row r="581">
      <c r="B581" s="103"/>
    </row>
    <row r="582">
      <c r="B582" s="103"/>
    </row>
    <row r="583">
      <c r="B583" s="103"/>
    </row>
    <row r="584">
      <c r="B584" s="103"/>
    </row>
    <row r="585">
      <c r="B585" s="103"/>
    </row>
    <row r="586">
      <c r="B586" s="103"/>
    </row>
    <row r="587">
      <c r="B587" s="103"/>
    </row>
    <row r="588">
      <c r="B588" s="103"/>
    </row>
    <row r="589">
      <c r="B589" s="103"/>
    </row>
    <row r="590">
      <c r="B590" s="103"/>
    </row>
    <row r="591">
      <c r="B591" s="103"/>
    </row>
    <row r="592">
      <c r="B592" s="103"/>
    </row>
    <row r="593">
      <c r="B593" s="103"/>
    </row>
    <row r="594">
      <c r="B594" s="103"/>
    </row>
    <row r="595">
      <c r="B595" s="103"/>
    </row>
    <row r="596">
      <c r="B596" s="103"/>
    </row>
    <row r="597">
      <c r="B597" s="103"/>
    </row>
    <row r="598">
      <c r="B598" s="103"/>
    </row>
    <row r="599">
      <c r="B599" s="103"/>
    </row>
    <row r="600">
      <c r="B600" s="103"/>
    </row>
    <row r="601">
      <c r="B601" s="103"/>
    </row>
    <row r="602">
      <c r="B602" s="103"/>
    </row>
    <row r="603">
      <c r="B603" s="103"/>
    </row>
    <row r="604">
      <c r="B604" s="103"/>
    </row>
    <row r="605">
      <c r="B605" s="103"/>
    </row>
    <row r="606">
      <c r="B606" s="103"/>
    </row>
    <row r="607">
      <c r="B607" s="103"/>
    </row>
    <row r="608">
      <c r="B608" s="103"/>
    </row>
    <row r="609">
      <c r="B609" s="103"/>
    </row>
    <row r="610">
      <c r="B610" s="103"/>
    </row>
    <row r="611">
      <c r="B611" s="103"/>
    </row>
    <row r="612">
      <c r="B612" s="103"/>
    </row>
    <row r="613">
      <c r="B613" s="103"/>
    </row>
    <row r="614">
      <c r="B614" s="103"/>
    </row>
    <row r="615">
      <c r="B615" s="103"/>
    </row>
    <row r="616">
      <c r="B616" s="103"/>
    </row>
    <row r="617">
      <c r="B617" s="103"/>
    </row>
    <row r="618">
      <c r="B618" s="103"/>
    </row>
    <row r="619">
      <c r="B619" s="103"/>
    </row>
    <row r="620">
      <c r="B620" s="103"/>
    </row>
    <row r="621">
      <c r="B621" s="103"/>
    </row>
    <row r="622">
      <c r="B622" s="103"/>
    </row>
    <row r="623">
      <c r="B623" s="103"/>
    </row>
    <row r="624">
      <c r="B624" s="103"/>
    </row>
    <row r="625">
      <c r="B625" s="103"/>
    </row>
    <row r="626">
      <c r="B626" s="103"/>
    </row>
    <row r="627">
      <c r="B627" s="103"/>
    </row>
    <row r="628">
      <c r="B628" s="103"/>
    </row>
    <row r="629">
      <c r="B629" s="103"/>
    </row>
    <row r="630">
      <c r="B630" s="103"/>
    </row>
    <row r="631">
      <c r="B631" s="103"/>
    </row>
    <row r="632">
      <c r="B632" s="103"/>
    </row>
    <row r="633">
      <c r="B633" s="103"/>
    </row>
    <row r="634">
      <c r="B634" s="103"/>
    </row>
    <row r="635">
      <c r="B635" s="103"/>
    </row>
    <row r="636">
      <c r="B636" s="103"/>
    </row>
    <row r="637">
      <c r="B637" s="103"/>
    </row>
    <row r="638">
      <c r="B638" s="103"/>
    </row>
    <row r="639">
      <c r="B639" s="103"/>
    </row>
    <row r="640">
      <c r="B640" s="103"/>
    </row>
    <row r="641">
      <c r="B641" s="103"/>
    </row>
    <row r="642">
      <c r="B642" s="103"/>
    </row>
    <row r="643">
      <c r="B643" s="103"/>
    </row>
    <row r="644">
      <c r="B644" s="103"/>
    </row>
    <row r="645">
      <c r="B645" s="103"/>
    </row>
    <row r="646">
      <c r="B646" s="103"/>
    </row>
    <row r="647">
      <c r="B647" s="103"/>
    </row>
    <row r="648">
      <c r="B648" s="103"/>
    </row>
    <row r="649">
      <c r="B649" s="103"/>
    </row>
    <row r="650">
      <c r="B650" s="103"/>
    </row>
    <row r="651">
      <c r="B651" s="103"/>
    </row>
    <row r="652">
      <c r="B652" s="103"/>
    </row>
    <row r="653">
      <c r="B653" s="103"/>
    </row>
    <row r="654">
      <c r="B654" s="103"/>
    </row>
    <row r="655">
      <c r="B655" s="103"/>
    </row>
    <row r="656">
      <c r="B656" s="103"/>
    </row>
    <row r="657">
      <c r="B657" s="103"/>
    </row>
    <row r="658">
      <c r="B658" s="103"/>
    </row>
    <row r="659">
      <c r="B659" s="103"/>
    </row>
    <row r="660">
      <c r="B660" s="103"/>
    </row>
    <row r="661">
      <c r="B661" s="103"/>
    </row>
    <row r="662">
      <c r="B662" s="103"/>
    </row>
    <row r="663">
      <c r="B663" s="103"/>
    </row>
    <row r="664">
      <c r="B664" s="103"/>
    </row>
    <row r="665">
      <c r="B665" s="103"/>
    </row>
    <row r="666">
      <c r="B666" s="103"/>
    </row>
    <row r="667">
      <c r="B667" s="103"/>
    </row>
    <row r="668">
      <c r="B668" s="103"/>
    </row>
    <row r="669">
      <c r="B669" s="103"/>
    </row>
    <row r="670">
      <c r="B670" s="103"/>
    </row>
    <row r="671">
      <c r="B671" s="103"/>
    </row>
    <row r="672">
      <c r="B672" s="103"/>
    </row>
    <row r="673">
      <c r="B673" s="103"/>
    </row>
    <row r="674">
      <c r="B674" s="103"/>
    </row>
    <row r="675">
      <c r="B675" s="103"/>
    </row>
    <row r="676">
      <c r="B676" s="103"/>
    </row>
    <row r="677">
      <c r="B677" s="103"/>
    </row>
    <row r="678">
      <c r="B678" s="103"/>
    </row>
    <row r="679">
      <c r="B679" s="103"/>
    </row>
    <row r="680">
      <c r="B680" s="103"/>
    </row>
    <row r="681">
      <c r="B681" s="103"/>
    </row>
    <row r="682">
      <c r="B682" s="103"/>
    </row>
    <row r="683">
      <c r="B683" s="103"/>
    </row>
    <row r="684">
      <c r="B684" s="103"/>
    </row>
    <row r="685">
      <c r="B685" s="103"/>
    </row>
    <row r="686">
      <c r="B686" s="103"/>
    </row>
    <row r="687">
      <c r="B687" s="103"/>
    </row>
    <row r="688">
      <c r="B688" s="103"/>
    </row>
    <row r="689">
      <c r="B689" s="103"/>
    </row>
    <row r="690">
      <c r="B690" s="103"/>
    </row>
    <row r="691">
      <c r="B691" s="103"/>
    </row>
    <row r="692">
      <c r="B692" s="103"/>
    </row>
    <row r="693">
      <c r="B693" s="103"/>
    </row>
    <row r="694">
      <c r="B694" s="103"/>
    </row>
    <row r="695">
      <c r="B695" s="103"/>
    </row>
    <row r="696">
      <c r="B696" s="103"/>
    </row>
    <row r="697">
      <c r="B697" s="103"/>
    </row>
    <row r="698">
      <c r="B698" s="103"/>
    </row>
    <row r="699">
      <c r="B699" s="103"/>
    </row>
    <row r="700">
      <c r="B700" s="103"/>
    </row>
    <row r="701">
      <c r="B701" s="103"/>
    </row>
    <row r="702">
      <c r="B702" s="103"/>
    </row>
    <row r="703">
      <c r="B703" s="103"/>
    </row>
    <row r="704">
      <c r="B704" s="103"/>
    </row>
    <row r="705">
      <c r="B705" s="103"/>
    </row>
    <row r="706">
      <c r="B706" s="103"/>
    </row>
    <row r="707">
      <c r="B707" s="103"/>
    </row>
    <row r="708">
      <c r="B708" s="103"/>
    </row>
    <row r="709">
      <c r="B709" s="103"/>
    </row>
    <row r="710">
      <c r="B710" s="103"/>
    </row>
    <row r="711">
      <c r="B711" s="103"/>
    </row>
    <row r="712">
      <c r="B712" s="103"/>
    </row>
    <row r="713">
      <c r="B713" s="103"/>
    </row>
    <row r="714">
      <c r="B714" s="103"/>
    </row>
    <row r="715">
      <c r="B715" s="103"/>
    </row>
    <row r="716">
      <c r="B716" s="103"/>
    </row>
    <row r="717">
      <c r="B717" s="103"/>
    </row>
    <row r="718">
      <c r="B718" s="103"/>
    </row>
    <row r="719">
      <c r="B719" s="103"/>
    </row>
    <row r="720">
      <c r="B720" s="103"/>
    </row>
    <row r="721">
      <c r="B721" s="103"/>
    </row>
    <row r="722">
      <c r="B722" s="103"/>
    </row>
    <row r="723">
      <c r="B723" s="103"/>
    </row>
    <row r="724">
      <c r="B724" s="103"/>
    </row>
    <row r="725">
      <c r="B725" s="103"/>
    </row>
    <row r="726">
      <c r="B726" s="103"/>
    </row>
    <row r="727">
      <c r="B727" s="103"/>
    </row>
    <row r="728">
      <c r="B728" s="103"/>
    </row>
    <row r="729">
      <c r="B729" s="103"/>
    </row>
    <row r="730">
      <c r="B730" s="103"/>
    </row>
    <row r="731">
      <c r="B731" s="103"/>
    </row>
    <row r="732">
      <c r="B732" s="103"/>
    </row>
    <row r="733">
      <c r="B733" s="103"/>
    </row>
    <row r="734">
      <c r="B734" s="103"/>
    </row>
    <row r="735">
      <c r="B735" s="103"/>
    </row>
    <row r="736">
      <c r="B736" s="103"/>
    </row>
    <row r="737">
      <c r="B737" s="103"/>
    </row>
    <row r="738">
      <c r="B738" s="103"/>
    </row>
    <row r="739">
      <c r="B739" s="103"/>
    </row>
    <row r="740">
      <c r="B740" s="103"/>
    </row>
    <row r="741">
      <c r="B741" s="103"/>
    </row>
    <row r="742">
      <c r="B742" s="103"/>
    </row>
    <row r="743">
      <c r="B743" s="103"/>
    </row>
    <row r="744">
      <c r="B744" s="103"/>
    </row>
    <row r="745">
      <c r="B745" s="103"/>
    </row>
    <row r="746">
      <c r="B746" s="103"/>
    </row>
    <row r="747">
      <c r="B747" s="103"/>
    </row>
    <row r="748">
      <c r="B748" s="103"/>
    </row>
    <row r="749">
      <c r="B749" s="103"/>
    </row>
    <row r="750">
      <c r="B750" s="103"/>
    </row>
    <row r="751">
      <c r="B751" s="103"/>
    </row>
    <row r="752">
      <c r="B752" s="103"/>
    </row>
    <row r="753">
      <c r="B753" s="103"/>
    </row>
    <row r="754">
      <c r="B754" s="103"/>
    </row>
    <row r="755">
      <c r="B755" s="103"/>
    </row>
    <row r="756">
      <c r="B756" s="103"/>
    </row>
    <row r="757">
      <c r="B757" s="103"/>
    </row>
    <row r="758">
      <c r="B758" s="103"/>
    </row>
    <row r="759">
      <c r="B759" s="103"/>
    </row>
    <row r="760">
      <c r="B760" s="103"/>
    </row>
    <row r="761">
      <c r="B761" s="103"/>
    </row>
    <row r="762">
      <c r="B762" s="103"/>
    </row>
    <row r="763">
      <c r="B763" s="103"/>
    </row>
    <row r="764">
      <c r="B764" s="103"/>
    </row>
    <row r="765">
      <c r="B765" s="103"/>
    </row>
    <row r="766">
      <c r="B766" s="103"/>
    </row>
    <row r="767">
      <c r="B767" s="103"/>
    </row>
    <row r="768">
      <c r="B768" s="103"/>
    </row>
    <row r="769">
      <c r="B769" s="103"/>
    </row>
    <row r="770">
      <c r="B770" s="103"/>
    </row>
    <row r="771">
      <c r="B771" s="103"/>
    </row>
    <row r="772">
      <c r="B772" s="103"/>
    </row>
    <row r="773">
      <c r="B773" s="103"/>
    </row>
    <row r="774">
      <c r="B774" s="103"/>
    </row>
    <row r="775">
      <c r="B775" s="103"/>
    </row>
    <row r="776">
      <c r="B776" s="103"/>
    </row>
    <row r="777">
      <c r="B777" s="103"/>
    </row>
    <row r="778">
      <c r="B778" s="103"/>
    </row>
    <row r="779">
      <c r="B779" s="103"/>
    </row>
    <row r="780">
      <c r="B780" s="103"/>
    </row>
    <row r="781">
      <c r="B781" s="103"/>
    </row>
    <row r="782">
      <c r="B782" s="103"/>
    </row>
    <row r="783">
      <c r="B783" s="103"/>
    </row>
    <row r="784">
      <c r="B784" s="103"/>
    </row>
    <row r="785">
      <c r="B785" s="103"/>
    </row>
    <row r="786">
      <c r="B786" s="103"/>
    </row>
    <row r="787">
      <c r="B787" s="103"/>
    </row>
    <row r="788">
      <c r="B788" s="103"/>
    </row>
    <row r="789">
      <c r="B789" s="103"/>
    </row>
    <row r="790">
      <c r="B790" s="103"/>
    </row>
    <row r="791">
      <c r="B791" s="103"/>
    </row>
    <row r="792">
      <c r="B792" s="103"/>
    </row>
    <row r="793">
      <c r="B793" s="103"/>
    </row>
    <row r="794">
      <c r="B794" s="103"/>
    </row>
    <row r="795">
      <c r="B795" s="103"/>
    </row>
    <row r="796">
      <c r="B796" s="103"/>
    </row>
    <row r="797">
      <c r="B797" s="103"/>
    </row>
    <row r="798">
      <c r="B798" s="103"/>
    </row>
    <row r="799">
      <c r="B799" s="103"/>
    </row>
    <row r="800">
      <c r="B800" s="103"/>
    </row>
    <row r="801">
      <c r="B801" s="103"/>
    </row>
    <row r="802">
      <c r="B802" s="103"/>
    </row>
    <row r="803">
      <c r="B803" s="103"/>
    </row>
    <row r="804">
      <c r="B804" s="103"/>
    </row>
    <row r="805">
      <c r="B805" s="103"/>
    </row>
    <row r="806">
      <c r="B806" s="103"/>
    </row>
    <row r="807">
      <c r="B807" s="103"/>
    </row>
    <row r="808">
      <c r="B808" s="103"/>
    </row>
    <row r="809">
      <c r="B809" s="103"/>
    </row>
    <row r="810">
      <c r="B810" s="103"/>
    </row>
    <row r="811">
      <c r="B811" s="103"/>
    </row>
    <row r="812">
      <c r="B812" s="103"/>
    </row>
    <row r="813">
      <c r="B813" s="103"/>
    </row>
    <row r="814">
      <c r="B814" s="103"/>
    </row>
    <row r="815">
      <c r="B815" s="103"/>
    </row>
    <row r="816">
      <c r="B816" s="103"/>
    </row>
    <row r="817">
      <c r="B817" s="103"/>
    </row>
    <row r="818">
      <c r="B818" s="103"/>
    </row>
    <row r="819">
      <c r="B819" s="103"/>
    </row>
    <row r="820">
      <c r="B820" s="103"/>
    </row>
    <row r="821">
      <c r="B821" s="103"/>
    </row>
    <row r="822">
      <c r="B822" s="103"/>
    </row>
    <row r="823">
      <c r="B823" s="103"/>
    </row>
    <row r="824">
      <c r="B824" s="103"/>
    </row>
    <row r="825">
      <c r="B825" s="103"/>
    </row>
    <row r="826">
      <c r="B826" s="103"/>
    </row>
    <row r="827">
      <c r="B827" s="103"/>
    </row>
    <row r="828">
      <c r="B828" s="103"/>
    </row>
    <row r="829">
      <c r="B829" s="103"/>
    </row>
    <row r="830">
      <c r="B830" s="103"/>
    </row>
    <row r="831">
      <c r="B831" s="103"/>
    </row>
    <row r="832">
      <c r="B832" s="103"/>
    </row>
    <row r="833">
      <c r="B833" s="103"/>
    </row>
    <row r="834">
      <c r="B834" s="103"/>
    </row>
    <row r="835">
      <c r="B835" s="103"/>
    </row>
    <row r="836">
      <c r="B836" s="103"/>
    </row>
    <row r="837">
      <c r="B837" s="103"/>
    </row>
    <row r="838">
      <c r="B838" s="103"/>
    </row>
    <row r="839">
      <c r="B839" s="103"/>
    </row>
    <row r="840">
      <c r="B840" s="103"/>
    </row>
    <row r="841">
      <c r="B841" s="103"/>
    </row>
    <row r="842">
      <c r="B842" s="103"/>
    </row>
    <row r="843">
      <c r="B843" s="103"/>
    </row>
    <row r="844">
      <c r="B844" s="103"/>
    </row>
    <row r="845">
      <c r="B845" s="103"/>
    </row>
    <row r="846">
      <c r="B846" s="103"/>
    </row>
    <row r="847">
      <c r="B847" s="103"/>
    </row>
    <row r="848">
      <c r="B848" s="103"/>
    </row>
    <row r="849">
      <c r="B849" s="103"/>
    </row>
    <row r="850">
      <c r="B850" s="103"/>
    </row>
    <row r="851">
      <c r="B851" s="103"/>
    </row>
    <row r="852">
      <c r="B852" s="103"/>
    </row>
    <row r="853">
      <c r="B853" s="103"/>
    </row>
    <row r="854">
      <c r="B854" s="103"/>
    </row>
    <row r="855">
      <c r="B855" s="103"/>
    </row>
    <row r="856">
      <c r="B856" s="103"/>
    </row>
    <row r="857">
      <c r="B857" s="103"/>
    </row>
    <row r="858">
      <c r="B858" s="103"/>
    </row>
    <row r="859">
      <c r="B859" s="103"/>
    </row>
    <row r="860">
      <c r="B860" s="103"/>
    </row>
    <row r="861">
      <c r="B861" s="103"/>
    </row>
    <row r="862">
      <c r="B862" s="103"/>
    </row>
    <row r="863">
      <c r="B863" s="103"/>
    </row>
    <row r="864">
      <c r="B864" s="103"/>
    </row>
    <row r="865">
      <c r="B865" s="103"/>
    </row>
    <row r="866">
      <c r="B866" s="103"/>
    </row>
    <row r="867">
      <c r="B867" s="103"/>
    </row>
    <row r="868">
      <c r="B868" s="103"/>
    </row>
    <row r="869">
      <c r="B869" s="103"/>
    </row>
    <row r="870">
      <c r="B870" s="103"/>
    </row>
    <row r="871">
      <c r="B871" s="103"/>
    </row>
    <row r="872">
      <c r="B872" s="103"/>
    </row>
    <row r="873">
      <c r="B873" s="103"/>
    </row>
    <row r="874">
      <c r="B874" s="103"/>
    </row>
    <row r="875">
      <c r="B875" s="103"/>
    </row>
    <row r="876">
      <c r="B876" s="103"/>
    </row>
    <row r="877">
      <c r="B877" s="103"/>
    </row>
    <row r="878">
      <c r="B878" s="103"/>
    </row>
    <row r="879">
      <c r="B879" s="103"/>
    </row>
    <row r="880">
      <c r="B880" s="103"/>
    </row>
    <row r="881">
      <c r="B881" s="103"/>
    </row>
    <row r="882">
      <c r="B882" s="103"/>
    </row>
    <row r="883">
      <c r="B883" s="103"/>
    </row>
    <row r="884">
      <c r="B884" s="103"/>
    </row>
    <row r="885">
      <c r="B885" s="103"/>
    </row>
    <row r="886">
      <c r="B886" s="103"/>
    </row>
    <row r="887">
      <c r="B887" s="103"/>
    </row>
    <row r="888">
      <c r="B888" s="103"/>
    </row>
    <row r="889">
      <c r="B889" s="103"/>
    </row>
    <row r="890">
      <c r="B890" s="103"/>
    </row>
    <row r="891">
      <c r="B891" s="103"/>
    </row>
    <row r="892">
      <c r="B892" s="103"/>
    </row>
    <row r="893">
      <c r="B893" s="103"/>
    </row>
    <row r="894">
      <c r="B894" s="103"/>
    </row>
    <row r="895">
      <c r="B895" s="103"/>
    </row>
    <row r="896">
      <c r="B896" s="103"/>
    </row>
    <row r="897">
      <c r="B897" s="103"/>
    </row>
    <row r="898">
      <c r="B898" s="103"/>
    </row>
    <row r="899">
      <c r="B899" s="103"/>
    </row>
    <row r="900">
      <c r="B900" s="103"/>
    </row>
    <row r="901">
      <c r="B901" s="103"/>
    </row>
    <row r="902">
      <c r="B902" s="103"/>
    </row>
    <row r="903">
      <c r="B903" s="103"/>
    </row>
    <row r="904">
      <c r="B904" s="103"/>
    </row>
    <row r="905">
      <c r="B905" s="103"/>
    </row>
    <row r="906">
      <c r="B906" s="103"/>
    </row>
    <row r="907">
      <c r="B907" s="103"/>
    </row>
    <row r="908">
      <c r="B908" s="103"/>
    </row>
    <row r="909">
      <c r="B909" s="103"/>
    </row>
    <row r="910">
      <c r="B910" s="103"/>
    </row>
    <row r="911">
      <c r="B911" s="103"/>
    </row>
    <row r="912">
      <c r="B912" s="103"/>
    </row>
    <row r="913">
      <c r="B913" s="103"/>
    </row>
    <row r="914">
      <c r="B914" s="103"/>
    </row>
    <row r="915">
      <c r="B915" s="103"/>
    </row>
    <row r="916">
      <c r="B916" s="103"/>
    </row>
    <row r="917">
      <c r="B917" s="103"/>
    </row>
    <row r="918">
      <c r="B918" s="103"/>
    </row>
    <row r="919">
      <c r="B919" s="103"/>
    </row>
    <row r="920">
      <c r="B920" s="103"/>
    </row>
    <row r="921">
      <c r="B921" s="103"/>
    </row>
    <row r="922">
      <c r="B922" s="103"/>
    </row>
    <row r="923">
      <c r="B923" s="103"/>
    </row>
    <row r="924">
      <c r="B924" s="103"/>
    </row>
    <row r="925">
      <c r="B925" s="103"/>
    </row>
    <row r="926">
      <c r="B926" s="103"/>
    </row>
    <row r="927">
      <c r="B927" s="103"/>
    </row>
    <row r="928">
      <c r="B928" s="103"/>
    </row>
    <row r="929">
      <c r="B929" s="103"/>
    </row>
    <row r="930">
      <c r="B930" s="103"/>
    </row>
    <row r="931">
      <c r="B931" s="103"/>
    </row>
    <row r="932">
      <c r="B932" s="103"/>
    </row>
    <row r="933">
      <c r="B933" s="103"/>
    </row>
    <row r="934">
      <c r="B934" s="103"/>
    </row>
    <row r="935">
      <c r="B935" s="103"/>
    </row>
    <row r="936">
      <c r="B936" s="103"/>
    </row>
    <row r="937">
      <c r="B937" s="103"/>
    </row>
    <row r="938">
      <c r="B938" s="103"/>
    </row>
    <row r="939">
      <c r="B939" s="103"/>
    </row>
    <row r="940">
      <c r="B940" s="103"/>
    </row>
    <row r="941">
      <c r="B941" s="103"/>
    </row>
    <row r="942">
      <c r="B942" s="103"/>
    </row>
    <row r="943">
      <c r="B943" s="103"/>
    </row>
    <row r="944">
      <c r="B944" s="103"/>
    </row>
    <row r="945">
      <c r="B945" s="103"/>
    </row>
    <row r="946">
      <c r="B946" s="103"/>
    </row>
    <row r="947">
      <c r="B947" s="103"/>
    </row>
    <row r="948">
      <c r="B948" s="103"/>
    </row>
    <row r="949">
      <c r="B949" s="103"/>
    </row>
    <row r="950">
      <c r="B950" s="103"/>
    </row>
    <row r="951">
      <c r="B951" s="103"/>
    </row>
    <row r="952">
      <c r="B952" s="103"/>
    </row>
    <row r="953">
      <c r="B953" s="103"/>
    </row>
    <row r="954">
      <c r="B954" s="103"/>
    </row>
    <row r="955">
      <c r="B955" s="103"/>
    </row>
    <row r="956">
      <c r="B956" s="103"/>
    </row>
    <row r="957">
      <c r="B957" s="103"/>
    </row>
    <row r="958">
      <c r="B958" s="103"/>
    </row>
    <row r="959">
      <c r="B959" s="103"/>
    </row>
    <row r="960">
      <c r="B960" s="103"/>
    </row>
    <row r="961">
      <c r="B961" s="103"/>
    </row>
    <row r="962">
      <c r="B962" s="103"/>
    </row>
    <row r="963">
      <c r="B963" s="103"/>
    </row>
    <row r="964">
      <c r="B964" s="103"/>
    </row>
    <row r="965">
      <c r="B965" s="103"/>
    </row>
    <row r="966">
      <c r="B966" s="103"/>
    </row>
    <row r="967">
      <c r="B967" s="103"/>
    </row>
    <row r="968">
      <c r="B968" s="103"/>
    </row>
    <row r="969">
      <c r="B969" s="103"/>
    </row>
    <row r="970">
      <c r="B970" s="103"/>
    </row>
    <row r="971">
      <c r="B971" s="103"/>
    </row>
    <row r="972">
      <c r="B972" s="103"/>
    </row>
    <row r="973">
      <c r="B973" s="103"/>
    </row>
    <row r="974">
      <c r="B974" s="103"/>
    </row>
    <row r="975">
      <c r="B975" s="103"/>
    </row>
    <row r="976">
      <c r="B976" s="103"/>
    </row>
    <row r="977">
      <c r="B977" s="103"/>
    </row>
    <row r="978">
      <c r="B978" s="103"/>
    </row>
    <row r="979">
      <c r="B979" s="103"/>
    </row>
    <row r="980">
      <c r="B980" s="103"/>
    </row>
    <row r="981">
      <c r="B981" s="103"/>
    </row>
    <row r="982">
      <c r="B982" s="103"/>
    </row>
    <row r="983">
      <c r="B983" s="103"/>
    </row>
    <row r="984">
      <c r="B984" s="103"/>
    </row>
    <row r="985">
      <c r="B985" s="103"/>
    </row>
    <row r="986">
      <c r="B986" s="103"/>
    </row>
    <row r="987">
      <c r="B987" s="103"/>
    </row>
    <row r="988">
      <c r="B988" s="103"/>
    </row>
    <row r="989">
      <c r="B989" s="103"/>
    </row>
    <row r="990">
      <c r="B990" s="103"/>
    </row>
    <row r="991">
      <c r="B991" s="103"/>
    </row>
    <row r="992">
      <c r="B992" s="103"/>
    </row>
    <row r="993">
      <c r="B993" s="103"/>
    </row>
    <row r="994">
      <c r="B994" s="103"/>
    </row>
    <row r="995">
      <c r="B995" s="103"/>
    </row>
    <row r="996">
      <c r="B996" s="103"/>
    </row>
    <row r="997">
      <c r="B997" s="103"/>
    </row>
    <row r="998">
      <c r="B998" s="103"/>
    </row>
    <row r="999">
      <c r="B999" s="103"/>
    </row>
    <row r="1000">
      <c r="B1000" s="103"/>
    </row>
    <row r="1001">
      <c r="B1001" s="103"/>
    </row>
    <row r="1002">
      <c r="B1002" s="103"/>
    </row>
    <row r="1003">
      <c r="B1003" s="103"/>
    </row>
    <row r="1004">
      <c r="B1004" s="103"/>
    </row>
    <row r="1005">
      <c r="B1005" s="103"/>
    </row>
    <row r="1006">
      <c r="B1006" s="103"/>
    </row>
    <row r="1007">
      <c r="B1007" s="103"/>
    </row>
    <row r="1008">
      <c r="B1008" s="103"/>
    </row>
    <row r="1009">
      <c r="B1009" s="103"/>
    </row>
    <row r="1010">
      <c r="B1010" s="103"/>
    </row>
    <row r="1011">
      <c r="B1011" s="103"/>
    </row>
    <row r="1012">
      <c r="B1012" s="103"/>
    </row>
    <row r="1013">
      <c r="B1013" s="103"/>
    </row>
    <row r="1014">
      <c r="B1014" s="103"/>
    </row>
    <row r="1015">
      <c r="B1015" s="103"/>
    </row>
    <row r="1016">
      <c r="B1016" s="103"/>
    </row>
    <row r="1017">
      <c r="B1017" s="103"/>
    </row>
    <row r="1018">
      <c r="B1018" s="103"/>
    </row>
    <row r="1019">
      <c r="B1019" s="103"/>
    </row>
    <row r="1020">
      <c r="B1020" s="103"/>
    </row>
    <row r="1021">
      <c r="B1021" s="103"/>
    </row>
    <row r="1022">
      <c r="B1022" s="103"/>
    </row>
    <row r="1023">
      <c r="B1023" s="103"/>
    </row>
    <row r="1024">
      <c r="B1024" s="103"/>
    </row>
    <row r="1025">
      <c r="B1025" s="103"/>
    </row>
    <row r="1026">
      <c r="B1026" s="103"/>
    </row>
    <row r="1027">
      <c r="B1027" s="103"/>
    </row>
    <row r="1028">
      <c r="B1028" s="103"/>
    </row>
    <row r="1029">
      <c r="B1029" s="103"/>
    </row>
    <row r="1030">
      <c r="B1030" s="103"/>
    </row>
    <row r="1031">
      <c r="B1031" s="103"/>
    </row>
    <row r="1032">
      <c r="B1032" s="103"/>
    </row>
    <row r="1033">
      <c r="B1033" s="103"/>
    </row>
    <row r="1034">
      <c r="B1034" s="103"/>
    </row>
    <row r="1035">
      <c r="B1035" s="103"/>
    </row>
    <row r="1036">
      <c r="B1036" s="103"/>
    </row>
    <row r="1037">
      <c r="B1037" s="103"/>
    </row>
    <row r="1038">
      <c r="B1038" s="103"/>
    </row>
    <row r="1039">
      <c r="B1039" s="103"/>
    </row>
    <row r="1040">
      <c r="B1040" s="103"/>
    </row>
    <row r="1041">
      <c r="B1041" s="103"/>
    </row>
    <row r="1042">
      <c r="B1042" s="103"/>
    </row>
    <row r="1043">
      <c r="B1043" s="103"/>
    </row>
    <row r="1044">
      <c r="B1044" s="103"/>
    </row>
    <row r="1045">
      <c r="B1045" s="103"/>
    </row>
    <row r="1046">
      <c r="B1046" s="103"/>
    </row>
  </sheetData>
  <autoFilter ref="$A$2:$W$77"/>
  <mergeCells count="1">
    <mergeCell ref="D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9.38"/>
    <col customWidth="1" min="2" max="2" width="8.0"/>
    <col customWidth="1" min="3" max="3" width="10.0"/>
    <col customWidth="1" min="4" max="4" width="9.13"/>
    <col customWidth="1" min="5" max="5" width="10.75"/>
    <col customWidth="1" min="6" max="6" width="9.0"/>
    <col customWidth="1" min="7" max="7" width="7.25"/>
    <col customWidth="1" min="8" max="8" width="7.88"/>
    <col customWidth="1" min="9" max="9" width="6.13"/>
    <col customWidth="1" min="10" max="10" width="9.13"/>
    <col customWidth="1" min="11" max="11" width="8.88"/>
    <col customWidth="1" min="12" max="12" width="3.75"/>
    <col customWidth="1" min="13" max="13" width="7.25"/>
    <col customWidth="1" min="14" max="14" width="9.5"/>
    <col customWidth="1" min="15" max="15" width="6.0"/>
    <col customWidth="1" min="16" max="16" width="9.75"/>
    <col customWidth="1" min="17" max="17" width="8.63"/>
    <col customWidth="1" min="18" max="18" width="15.13"/>
    <col customWidth="1" min="19" max="20" width="9.5"/>
    <col customWidth="1" min="21" max="21" width="7.75"/>
    <col customWidth="1" min="22" max="22" width="7.13"/>
    <col customWidth="1" min="23" max="23" width="8.63"/>
    <col customWidth="1" min="24" max="24" width="8.0"/>
    <col customWidth="1" min="25" max="25" width="7.75"/>
    <col customWidth="1" min="26" max="26" width="7.13"/>
    <col customWidth="1" min="27" max="27" width="5.75"/>
  </cols>
  <sheetData>
    <row r="1">
      <c r="A1" s="121"/>
      <c r="B1" s="121"/>
      <c r="C1" s="122" t="s">
        <v>192</v>
      </c>
      <c r="D1" s="123" t="s">
        <v>193</v>
      </c>
      <c r="F1" s="122" t="s">
        <v>194</v>
      </c>
      <c r="G1" s="122" t="s">
        <v>195</v>
      </c>
      <c r="H1" s="121"/>
      <c r="I1" s="121"/>
      <c r="J1" s="121"/>
      <c r="K1" s="121"/>
      <c r="L1" s="121"/>
      <c r="M1" s="121"/>
      <c r="N1" s="121"/>
      <c r="O1" s="121"/>
      <c r="P1" s="121"/>
      <c r="Q1" s="124">
        <f>sum(Q3:Q78)</f>
        <v>11948.69</v>
      </c>
      <c r="R1" s="121"/>
      <c r="S1" s="125"/>
      <c r="T1" s="125"/>
      <c r="U1" s="125"/>
      <c r="V1" s="125"/>
      <c r="W1" s="125"/>
      <c r="X1" s="125"/>
      <c r="Y1" s="16" t="s">
        <v>196</v>
      </c>
    </row>
    <row r="2">
      <c r="A2" s="95" t="s">
        <v>93</v>
      </c>
      <c r="B2" s="95" t="s">
        <v>94</v>
      </c>
      <c r="C2" s="126" t="s">
        <v>105</v>
      </c>
      <c r="D2" s="126" t="s">
        <v>103</v>
      </c>
      <c r="E2" s="127" t="s">
        <v>104</v>
      </c>
      <c r="F2" s="127" t="s">
        <v>197</v>
      </c>
      <c r="G2" s="127" t="s">
        <v>198</v>
      </c>
      <c r="H2" s="95" t="s">
        <v>95</v>
      </c>
      <c r="I2" s="95" t="s">
        <v>96</v>
      </c>
      <c r="J2" s="95" t="s">
        <v>97</v>
      </c>
      <c r="K2" s="95" t="s">
        <v>98</v>
      </c>
      <c r="L2" s="95" t="s">
        <v>32</v>
      </c>
      <c r="M2" s="95" t="s">
        <v>55</v>
      </c>
      <c r="N2" s="95" t="s">
        <v>99</v>
      </c>
      <c r="O2" s="96" t="s">
        <v>100</v>
      </c>
      <c r="P2" s="95" t="s">
        <v>101</v>
      </c>
      <c r="Q2" s="95" t="s">
        <v>102</v>
      </c>
      <c r="R2" s="95" t="s">
        <v>56</v>
      </c>
      <c r="S2" s="128" t="s">
        <v>286</v>
      </c>
      <c r="T2" s="128" t="s">
        <v>108</v>
      </c>
      <c r="U2" s="128" t="s">
        <v>106</v>
      </c>
      <c r="V2" s="128" t="s">
        <v>109</v>
      </c>
      <c r="W2" s="128" t="s">
        <v>107</v>
      </c>
      <c r="X2" s="128" t="s">
        <v>110</v>
      </c>
      <c r="Y2" s="16" t="s">
        <v>255</v>
      </c>
    </row>
    <row r="3">
      <c r="A3" s="15">
        <v>45313.0</v>
      </c>
      <c r="B3" s="97" t="s">
        <v>54</v>
      </c>
      <c r="C3" s="102">
        <v>0.13</v>
      </c>
      <c r="D3" s="102">
        <v>0.31</v>
      </c>
      <c r="E3" s="102">
        <v>0.25</v>
      </c>
      <c r="F3" s="97" t="s">
        <v>235</v>
      </c>
      <c r="G3" s="16">
        <v>0.05</v>
      </c>
      <c r="H3" s="97" t="s">
        <v>116</v>
      </c>
      <c r="I3" s="97" t="s">
        <v>113</v>
      </c>
      <c r="J3" s="97" t="s">
        <v>287</v>
      </c>
      <c r="K3" s="98">
        <v>140.0</v>
      </c>
      <c r="L3" s="16">
        <v>1.0</v>
      </c>
      <c r="M3" s="16">
        <v>208.0</v>
      </c>
      <c r="N3" s="16">
        <v>0.63</v>
      </c>
      <c r="O3" s="34">
        <f t="shared" ref="O3:O6" si="1">M3-N3</f>
        <v>207.37</v>
      </c>
      <c r="Q3" s="145">
        <f t="shared" ref="Q3:Q6" si="2">sum(O3:P3)</f>
        <v>207.37</v>
      </c>
      <c r="R3" s="16" t="s">
        <v>288</v>
      </c>
      <c r="S3" s="53">
        <f t="shared" ref="S3:S6" si="3">O3/(L3*100)/K3</f>
        <v>0.01481214286</v>
      </c>
      <c r="T3" s="102">
        <v>0.78</v>
      </c>
      <c r="U3" s="102">
        <v>0.72</v>
      </c>
      <c r="V3" s="98">
        <v>13736.0</v>
      </c>
      <c r="W3" s="98" t="s">
        <v>125</v>
      </c>
      <c r="X3" s="98">
        <v>0.02</v>
      </c>
      <c r="Z3" s="8">
        <f t="shared" ref="Z3:Z6" si="4">K3*L3*100</f>
        <v>14000</v>
      </c>
    </row>
    <row r="4">
      <c r="A4" s="15">
        <v>45313.0</v>
      </c>
      <c r="B4" s="97" t="s">
        <v>60</v>
      </c>
      <c r="C4" s="102">
        <v>0.13</v>
      </c>
      <c r="D4" s="102">
        <v>0.23</v>
      </c>
      <c r="E4" s="102">
        <v>0.2</v>
      </c>
      <c r="F4" s="97" t="s">
        <v>235</v>
      </c>
      <c r="G4" s="16">
        <v>0.01</v>
      </c>
      <c r="H4" s="97" t="s">
        <v>112</v>
      </c>
      <c r="I4" s="97" t="s">
        <v>113</v>
      </c>
      <c r="J4" s="97" t="s">
        <v>287</v>
      </c>
      <c r="K4" s="98">
        <v>200.0</v>
      </c>
      <c r="L4" s="16">
        <v>1.0</v>
      </c>
      <c r="M4" s="16">
        <v>225.0</v>
      </c>
      <c r="N4" s="16">
        <v>1.04</v>
      </c>
      <c r="O4" s="34">
        <f t="shared" si="1"/>
        <v>223.96</v>
      </c>
      <c r="Q4" s="145">
        <f t="shared" si="2"/>
        <v>223.96</v>
      </c>
      <c r="R4" s="16" t="s">
        <v>288</v>
      </c>
      <c r="S4" s="53">
        <f t="shared" si="3"/>
        <v>0.011198</v>
      </c>
      <c r="T4" s="102">
        <v>0.75</v>
      </c>
      <c r="U4" s="102">
        <v>0.68</v>
      </c>
      <c r="W4" s="102"/>
      <c r="X4" s="146"/>
      <c r="Z4" s="8">
        <f t="shared" si="4"/>
        <v>20000</v>
      </c>
    </row>
    <row r="5">
      <c r="A5" s="20">
        <v>45314.0</v>
      </c>
      <c r="B5" s="97" t="s">
        <v>59</v>
      </c>
      <c r="C5" s="102">
        <v>0.13</v>
      </c>
      <c r="D5" s="102">
        <v>0.46</v>
      </c>
      <c r="E5" s="102">
        <v>0.52</v>
      </c>
      <c r="F5" s="97" t="s">
        <v>235</v>
      </c>
      <c r="G5" s="16">
        <v>0.5</v>
      </c>
      <c r="H5" s="97" t="s">
        <v>112</v>
      </c>
      <c r="I5" s="97" t="s">
        <v>113</v>
      </c>
      <c r="J5" s="97" t="s">
        <v>287</v>
      </c>
      <c r="K5" s="98">
        <v>110.0</v>
      </c>
      <c r="L5" s="16">
        <v>2.0</v>
      </c>
      <c r="M5" s="16">
        <v>362.0</v>
      </c>
      <c r="N5" s="16">
        <v>0.7</v>
      </c>
      <c r="O5" s="34">
        <f t="shared" si="1"/>
        <v>361.3</v>
      </c>
      <c r="Q5" s="145">
        <f t="shared" si="2"/>
        <v>361.3</v>
      </c>
      <c r="R5" s="16" t="s">
        <v>255</v>
      </c>
      <c r="S5" s="53">
        <f t="shared" si="3"/>
        <v>0.01642272727</v>
      </c>
      <c r="T5" s="102">
        <v>0.78</v>
      </c>
      <c r="U5" s="102">
        <v>0.74</v>
      </c>
      <c r="W5" s="102"/>
      <c r="X5" s="146"/>
      <c r="Y5" s="16">
        <v>1.0</v>
      </c>
      <c r="Z5" s="8">
        <f t="shared" si="4"/>
        <v>22000</v>
      </c>
    </row>
    <row r="6">
      <c r="A6" s="15">
        <v>45322.0</v>
      </c>
      <c r="B6" s="97" t="s">
        <v>58</v>
      </c>
      <c r="C6" s="102">
        <v>0.14</v>
      </c>
      <c r="D6" s="102">
        <v>0.54</v>
      </c>
      <c r="E6" s="102">
        <v>0.42</v>
      </c>
      <c r="F6" s="97" t="s">
        <v>199</v>
      </c>
      <c r="G6" s="16">
        <v>0.1</v>
      </c>
      <c r="H6" s="97" t="s">
        <v>116</v>
      </c>
      <c r="I6" s="97" t="s">
        <v>113</v>
      </c>
      <c r="J6" s="97" t="s">
        <v>287</v>
      </c>
      <c r="K6" s="98">
        <v>17.5</v>
      </c>
      <c r="L6" s="16">
        <v>4.0</v>
      </c>
      <c r="M6" s="16">
        <v>224.0</v>
      </c>
      <c r="N6" s="16">
        <v>6.2</v>
      </c>
      <c r="O6" s="34">
        <f t="shared" si="1"/>
        <v>217.8</v>
      </c>
      <c r="Q6" s="145">
        <f t="shared" si="2"/>
        <v>217.8</v>
      </c>
      <c r="R6" s="16" t="s">
        <v>288</v>
      </c>
      <c r="S6" s="53">
        <f t="shared" si="3"/>
        <v>0.03111428571</v>
      </c>
      <c r="T6" s="102">
        <v>0.69</v>
      </c>
      <c r="U6" s="102">
        <v>0.58</v>
      </c>
      <c r="V6" s="16">
        <v>6763.0</v>
      </c>
      <c r="W6" s="98" t="s">
        <v>125</v>
      </c>
      <c r="X6" s="98">
        <v>0.03</v>
      </c>
      <c r="Z6" s="8">
        <f t="shared" si="4"/>
        <v>7000</v>
      </c>
    </row>
    <row r="7">
      <c r="B7" s="97"/>
      <c r="C7" s="102"/>
      <c r="D7" s="102"/>
      <c r="E7" s="102"/>
      <c r="F7" s="97"/>
      <c r="I7" s="97"/>
      <c r="J7" s="97"/>
      <c r="K7" s="98"/>
      <c r="O7" s="34"/>
      <c r="Q7" s="70"/>
      <c r="S7" s="102"/>
      <c r="T7" s="102"/>
      <c r="U7" s="102"/>
      <c r="W7" s="53"/>
      <c r="X7" s="146"/>
      <c r="Z7" s="147">
        <f>sum(Z3:Z6)</f>
        <v>63000</v>
      </c>
      <c r="AA7" s="148">
        <f>sum(Q3:Q6)/Z7</f>
        <v>0.01603857143</v>
      </c>
    </row>
    <row r="8">
      <c r="A8" s="15">
        <v>45342.0</v>
      </c>
      <c r="B8" s="97" t="s">
        <v>60</v>
      </c>
      <c r="C8" s="102">
        <v>0.1553</v>
      </c>
      <c r="D8" s="102">
        <v>0.21</v>
      </c>
      <c r="E8" s="102">
        <v>0.22</v>
      </c>
      <c r="F8" s="97" t="s">
        <v>199</v>
      </c>
      <c r="G8" s="16">
        <v>0.05</v>
      </c>
      <c r="H8" s="97" t="s">
        <v>116</v>
      </c>
      <c r="I8" s="97" t="s">
        <v>113</v>
      </c>
      <c r="J8" s="97" t="s">
        <v>289</v>
      </c>
      <c r="K8" s="98">
        <v>170.0</v>
      </c>
      <c r="L8" s="16">
        <v>1.0</v>
      </c>
      <c r="M8" s="16">
        <v>87.0</v>
      </c>
      <c r="N8" s="16">
        <v>1.04</v>
      </c>
      <c r="O8" s="34">
        <f t="shared" ref="O8:O13" si="5">M8-N8</f>
        <v>85.96</v>
      </c>
      <c r="Q8" s="145">
        <f t="shared" ref="Q8:Q13" si="6">sum(O8:P8)</f>
        <v>85.96</v>
      </c>
      <c r="R8" s="16" t="s">
        <v>280</v>
      </c>
      <c r="S8" s="53">
        <f t="shared" ref="S8:S13" si="7">O8/(L8*100)/K8</f>
        <v>0.005056470588</v>
      </c>
      <c r="T8" s="102">
        <v>0.89</v>
      </c>
      <c r="U8" s="102">
        <v>0.87</v>
      </c>
      <c r="V8" s="98">
        <v>16853.0</v>
      </c>
      <c r="W8" s="98" t="s">
        <v>125</v>
      </c>
      <c r="X8" s="98">
        <v>0.01</v>
      </c>
      <c r="Z8" s="8">
        <f t="shared" ref="Z8:Z13" si="8">K8*L8*100</f>
        <v>17000</v>
      </c>
    </row>
    <row r="9">
      <c r="A9" s="15">
        <v>45342.0</v>
      </c>
      <c r="B9" s="97" t="s">
        <v>58</v>
      </c>
      <c r="C9" s="102">
        <v>0.1553</v>
      </c>
      <c r="D9" s="102">
        <v>0.845</v>
      </c>
      <c r="E9" s="102">
        <v>0.486</v>
      </c>
      <c r="F9" s="97" t="s">
        <v>199</v>
      </c>
      <c r="G9" s="16">
        <v>0.05</v>
      </c>
      <c r="H9" s="97" t="s">
        <v>116</v>
      </c>
      <c r="I9" s="97" t="s">
        <v>113</v>
      </c>
      <c r="J9" s="97" t="s">
        <v>289</v>
      </c>
      <c r="K9" s="98">
        <v>17.5</v>
      </c>
      <c r="L9" s="16">
        <v>2.0</v>
      </c>
      <c r="M9" s="16">
        <v>212.0</v>
      </c>
      <c r="N9" s="16">
        <v>0.7</v>
      </c>
      <c r="O9" s="34">
        <f t="shared" si="5"/>
        <v>211.3</v>
      </c>
      <c r="Q9" s="145">
        <f t="shared" si="6"/>
        <v>211.3</v>
      </c>
      <c r="R9" s="16" t="s">
        <v>255</v>
      </c>
      <c r="S9" s="53">
        <f t="shared" si="7"/>
        <v>0.06037142857</v>
      </c>
      <c r="T9" s="102">
        <v>0.72</v>
      </c>
      <c r="U9" s="102">
        <v>0.61</v>
      </c>
      <c r="V9" s="16">
        <v>3278.0</v>
      </c>
      <c r="W9" s="98" t="s">
        <v>125</v>
      </c>
      <c r="X9" s="98">
        <v>0.06</v>
      </c>
      <c r="Y9" s="16">
        <v>1.0</v>
      </c>
      <c r="Z9" s="8">
        <f t="shared" si="8"/>
        <v>3500</v>
      </c>
    </row>
    <row r="10">
      <c r="A10" s="15">
        <v>45342.0</v>
      </c>
      <c r="B10" s="97" t="s">
        <v>54</v>
      </c>
      <c r="C10" s="102">
        <v>0.1553</v>
      </c>
      <c r="D10" s="102">
        <v>0.248</v>
      </c>
      <c r="E10" s="102">
        <v>0.274</v>
      </c>
      <c r="F10" s="97" t="s">
        <v>199</v>
      </c>
      <c r="G10" s="16">
        <v>0.02</v>
      </c>
      <c r="H10" s="97" t="s">
        <v>116</v>
      </c>
      <c r="I10" s="97" t="s">
        <v>113</v>
      </c>
      <c r="J10" s="97" t="s">
        <v>289</v>
      </c>
      <c r="K10" s="98">
        <v>138.0</v>
      </c>
      <c r="L10" s="16">
        <v>1.0</v>
      </c>
      <c r="M10" s="16">
        <v>219.0</v>
      </c>
      <c r="N10" s="16">
        <v>1.04</v>
      </c>
      <c r="O10" s="34">
        <f t="shared" si="5"/>
        <v>217.96</v>
      </c>
      <c r="Q10" s="145">
        <f t="shared" si="6"/>
        <v>217.96</v>
      </c>
      <c r="R10" s="16" t="s">
        <v>280</v>
      </c>
      <c r="S10" s="53">
        <f t="shared" si="7"/>
        <v>0.0157942029</v>
      </c>
      <c r="T10" s="102">
        <v>0.74</v>
      </c>
      <c r="U10" s="102">
        <v>0.65</v>
      </c>
      <c r="V10" s="98">
        <v>13534.0</v>
      </c>
      <c r="W10" s="98" t="s">
        <v>125</v>
      </c>
      <c r="X10" s="98">
        <v>0.02</v>
      </c>
      <c r="Z10" s="8">
        <f t="shared" si="8"/>
        <v>13800</v>
      </c>
    </row>
    <row r="11">
      <c r="A11" s="15">
        <v>45342.0</v>
      </c>
      <c r="B11" s="97" t="s">
        <v>60</v>
      </c>
      <c r="C11" s="102">
        <v>0.1553</v>
      </c>
      <c r="D11" s="102">
        <f t="shared" ref="D11:E11" si="9">D8</f>
        <v>0.21</v>
      </c>
      <c r="E11" s="102">
        <f t="shared" si="9"/>
        <v>0.22</v>
      </c>
      <c r="F11" s="97" t="s">
        <v>199</v>
      </c>
      <c r="G11" s="16">
        <v>0.05</v>
      </c>
      <c r="H11" s="97" t="s">
        <v>112</v>
      </c>
      <c r="I11" s="97" t="s">
        <v>113</v>
      </c>
      <c r="J11" s="97" t="s">
        <v>289</v>
      </c>
      <c r="K11" s="98">
        <v>190.0</v>
      </c>
      <c r="L11" s="16">
        <v>1.0</v>
      </c>
      <c r="M11" s="16">
        <v>105.0</v>
      </c>
      <c r="N11" s="16">
        <v>0.53</v>
      </c>
      <c r="O11" s="34">
        <f t="shared" si="5"/>
        <v>104.47</v>
      </c>
      <c r="Q11" s="145">
        <f t="shared" si="6"/>
        <v>104.47</v>
      </c>
      <c r="R11" s="16" t="s">
        <v>280</v>
      </c>
      <c r="S11" s="53">
        <f t="shared" si="7"/>
        <v>0.005498421053</v>
      </c>
      <c r="T11" s="102">
        <v>0.83</v>
      </c>
      <c r="U11" s="102">
        <v>0.8</v>
      </c>
      <c r="V11" s="98"/>
      <c r="W11" s="98"/>
      <c r="X11" s="98"/>
      <c r="Z11" s="8">
        <f t="shared" si="8"/>
        <v>19000</v>
      </c>
    </row>
    <row r="12">
      <c r="A12" s="15">
        <v>45342.0</v>
      </c>
      <c r="B12" s="97" t="s">
        <v>59</v>
      </c>
      <c r="C12" s="102">
        <v>0.1553</v>
      </c>
      <c r="D12" s="102">
        <v>0.385</v>
      </c>
      <c r="E12" s="102">
        <v>0.606</v>
      </c>
      <c r="F12" s="97" t="s">
        <v>199</v>
      </c>
      <c r="G12" s="16">
        <v>0.1</v>
      </c>
      <c r="H12" s="97" t="s">
        <v>116</v>
      </c>
      <c r="I12" s="97" t="s">
        <v>113</v>
      </c>
      <c r="J12" s="97" t="s">
        <v>289</v>
      </c>
      <c r="K12" s="98">
        <v>110.0</v>
      </c>
      <c r="L12" s="16">
        <v>2.0</v>
      </c>
      <c r="M12" s="16">
        <f>452+258.2</f>
        <v>710.2</v>
      </c>
      <c r="N12" s="16">
        <v>0.7</v>
      </c>
      <c r="O12" s="34">
        <f t="shared" si="5"/>
        <v>709.5</v>
      </c>
      <c r="P12" s="16">
        <v>-49.44</v>
      </c>
      <c r="Q12" s="145">
        <f t="shared" si="6"/>
        <v>660.06</v>
      </c>
      <c r="R12" s="16" t="s">
        <v>280</v>
      </c>
      <c r="S12" s="53">
        <f t="shared" si="7"/>
        <v>0.03225</v>
      </c>
      <c r="T12" s="102">
        <v>0.76</v>
      </c>
      <c r="U12" s="102">
        <v>0.69</v>
      </c>
      <c r="V12" s="98">
        <v>21462.0</v>
      </c>
      <c r="W12" s="98" t="s">
        <v>125</v>
      </c>
      <c r="X12" s="98">
        <v>0.02</v>
      </c>
      <c r="Z12" s="8">
        <f t="shared" si="8"/>
        <v>22000</v>
      </c>
      <c r="AA12" s="120"/>
    </row>
    <row r="13">
      <c r="A13" s="15">
        <v>45343.0</v>
      </c>
      <c r="B13" s="97" t="s">
        <v>58</v>
      </c>
      <c r="C13" s="102">
        <v>0.1581</v>
      </c>
      <c r="D13" s="102">
        <v>0.855</v>
      </c>
      <c r="E13" s="102">
        <v>0.51</v>
      </c>
      <c r="F13" s="97" t="s">
        <v>199</v>
      </c>
      <c r="G13" s="16">
        <v>0.1</v>
      </c>
      <c r="H13" s="97" t="s">
        <v>116</v>
      </c>
      <c r="I13" s="97" t="s">
        <v>113</v>
      </c>
      <c r="J13" s="97" t="s">
        <v>289</v>
      </c>
      <c r="K13" s="98">
        <v>17.0</v>
      </c>
      <c r="L13" s="16">
        <v>2.0</v>
      </c>
      <c r="M13" s="16">
        <v>232.0</v>
      </c>
      <c r="N13" s="16">
        <v>0.7</v>
      </c>
      <c r="O13" s="34">
        <f t="shared" si="5"/>
        <v>231.3</v>
      </c>
      <c r="Q13" s="145">
        <f t="shared" si="6"/>
        <v>231.3</v>
      </c>
      <c r="R13" s="16" t="s">
        <v>255</v>
      </c>
      <c r="S13" s="53">
        <f t="shared" si="7"/>
        <v>0.06802941176</v>
      </c>
      <c r="T13" s="102">
        <v>0.69</v>
      </c>
      <c r="U13" s="102">
        <v>0.57</v>
      </c>
      <c r="V13" s="16">
        <v>3158.0</v>
      </c>
      <c r="W13" s="98" t="s">
        <v>125</v>
      </c>
      <c r="X13" s="16">
        <v>0.07</v>
      </c>
      <c r="Y13" s="16">
        <v>1.0</v>
      </c>
      <c r="Z13" s="8">
        <f t="shared" si="8"/>
        <v>3400</v>
      </c>
    </row>
    <row r="14">
      <c r="A14" s="15"/>
      <c r="B14" s="97"/>
      <c r="C14" s="102"/>
      <c r="D14" s="102"/>
      <c r="E14" s="102"/>
      <c r="F14" s="97"/>
      <c r="H14" s="103"/>
      <c r="K14" s="98"/>
      <c r="O14" s="34"/>
      <c r="Q14" s="70"/>
      <c r="S14" s="102"/>
      <c r="T14" s="102"/>
      <c r="U14" s="102"/>
      <c r="W14" s="102"/>
      <c r="X14" s="61"/>
      <c r="Z14" s="147">
        <f>sum(Z8:Z13)</f>
        <v>78700</v>
      </c>
      <c r="AA14" s="148">
        <f>sum(Q8:Q13)/Z14</f>
        <v>0.01920012706</v>
      </c>
    </row>
    <row r="15">
      <c r="A15" s="15">
        <v>45370.0</v>
      </c>
      <c r="B15" s="97" t="s">
        <v>54</v>
      </c>
      <c r="C15" s="102">
        <v>0.14</v>
      </c>
      <c r="D15" s="102">
        <v>0.24</v>
      </c>
      <c r="E15" s="102">
        <v>0.28</v>
      </c>
      <c r="F15" s="97" t="s">
        <v>199</v>
      </c>
      <c r="G15" s="16">
        <v>0.05</v>
      </c>
      <c r="H15" s="97" t="s">
        <v>116</v>
      </c>
      <c r="I15" s="97" t="s">
        <v>113</v>
      </c>
      <c r="J15" s="16" t="s">
        <v>290</v>
      </c>
      <c r="K15" s="98">
        <v>140.0</v>
      </c>
      <c r="L15" s="16">
        <v>1.0</v>
      </c>
      <c r="M15" s="16">
        <v>136.0</v>
      </c>
      <c r="N15" s="16">
        <v>1.04</v>
      </c>
      <c r="O15" s="34">
        <f t="shared" ref="O15:O21" si="10">M15-N15</f>
        <v>134.96</v>
      </c>
      <c r="P15" s="16">
        <v>-27.05</v>
      </c>
      <c r="Q15" s="145">
        <f t="shared" ref="Q15:Q21" si="11">sum(O15:P15)</f>
        <v>107.91</v>
      </c>
      <c r="R15" s="16" t="s">
        <v>291</v>
      </c>
      <c r="S15" s="53">
        <f t="shared" ref="S15:S21" si="12">O15/(L15*100)/K15</f>
        <v>0.00964</v>
      </c>
      <c r="T15" s="102"/>
      <c r="U15" s="102"/>
      <c r="W15" s="102"/>
      <c r="X15" s="61"/>
    </row>
    <row r="16">
      <c r="A16" s="15">
        <v>45370.0</v>
      </c>
      <c r="B16" s="97" t="s">
        <v>59</v>
      </c>
      <c r="C16" s="102">
        <v>0.14</v>
      </c>
      <c r="D16" s="102">
        <v>0.35</v>
      </c>
      <c r="E16" s="102">
        <v>0.44</v>
      </c>
      <c r="F16" s="97" t="s">
        <v>199</v>
      </c>
      <c r="G16" s="16">
        <v>0.2</v>
      </c>
      <c r="H16" s="97" t="s">
        <v>116</v>
      </c>
      <c r="I16" s="97" t="s">
        <v>113</v>
      </c>
      <c r="J16" s="16" t="s">
        <v>290</v>
      </c>
      <c r="K16" s="98">
        <v>120.0</v>
      </c>
      <c r="L16" s="16">
        <v>1.0</v>
      </c>
      <c r="M16" s="16">
        <v>131.0</v>
      </c>
      <c r="N16" s="16">
        <v>0.25</v>
      </c>
      <c r="O16" s="34">
        <f t="shared" si="10"/>
        <v>130.75</v>
      </c>
      <c r="P16" s="16">
        <v>-22.05</v>
      </c>
      <c r="Q16" s="145">
        <f t="shared" si="11"/>
        <v>108.7</v>
      </c>
      <c r="R16" s="16" t="s">
        <v>291</v>
      </c>
      <c r="S16" s="53">
        <f t="shared" si="12"/>
        <v>0.01089583333</v>
      </c>
      <c r="T16" s="102"/>
      <c r="U16" s="102"/>
      <c r="W16" s="102"/>
      <c r="X16" s="61"/>
    </row>
    <row r="17">
      <c r="A17" s="15">
        <v>45370.0</v>
      </c>
      <c r="B17" s="97" t="s">
        <v>58</v>
      </c>
      <c r="C17" s="102">
        <v>0.14</v>
      </c>
      <c r="D17" s="102">
        <v>0.46</v>
      </c>
      <c r="E17" s="102">
        <v>0.52</v>
      </c>
      <c r="F17" s="97" t="s">
        <v>199</v>
      </c>
      <c r="G17" s="16">
        <v>0.1</v>
      </c>
      <c r="H17" s="97" t="s">
        <v>116</v>
      </c>
      <c r="I17" s="97" t="s">
        <v>113</v>
      </c>
      <c r="J17" s="16" t="s">
        <v>290</v>
      </c>
      <c r="K17" s="98">
        <v>15.0</v>
      </c>
      <c r="L17" s="16">
        <v>4.0</v>
      </c>
      <c r="M17" s="16">
        <v>184.0</v>
      </c>
      <c r="N17" s="16">
        <v>6.2</v>
      </c>
      <c r="O17" s="34">
        <f t="shared" si="10"/>
        <v>177.8</v>
      </c>
      <c r="Q17" s="145">
        <f t="shared" si="11"/>
        <v>177.8</v>
      </c>
      <c r="R17" s="44" t="s">
        <v>66</v>
      </c>
      <c r="S17" s="53">
        <f t="shared" si="12"/>
        <v>0.02963333333</v>
      </c>
      <c r="Y17" s="16">
        <v>1.0</v>
      </c>
      <c r="Z17" s="8">
        <f t="shared" ref="Z17:Z21" si="13">K17*L17*100</f>
        <v>6000</v>
      </c>
    </row>
    <row r="18">
      <c r="A18" s="15">
        <v>45372.0</v>
      </c>
      <c r="B18" s="97" t="s">
        <v>60</v>
      </c>
      <c r="C18" s="102">
        <v>0.13</v>
      </c>
      <c r="D18" s="102">
        <v>0.22</v>
      </c>
      <c r="E18" s="102">
        <v>0.22</v>
      </c>
      <c r="F18" s="97" t="s">
        <v>199</v>
      </c>
      <c r="G18" s="16">
        <v>0.03</v>
      </c>
      <c r="H18" s="97" t="s">
        <v>116</v>
      </c>
      <c r="I18" s="97" t="s">
        <v>113</v>
      </c>
      <c r="J18" s="16" t="s">
        <v>290</v>
      </c>
      <c r="K18" s="98">
        <v>167.5</v>
      </c>
      <c r="L18" s="16">
        <v>1.0</v>
      </c>
      <c r="M18" s="16">
        <v>246.0</v>
      </c>
      <c r="N18" s="16">
        <v>0.63</v>
      </c>
      <c r="O18" s="34">
        <f t="shared" si="10"/>
        <v>245.37</v>
      </c>
      <c r="Q18" s="145">
        <f t="shared" si="11"/>
        <v>245.37</v>
      </c>
      <c r="R18" s="44" t="s">
        <v>66</v>
      </c>
      <c r="S18" s="53">
        <f t="shared" si="12"/>
        <v>0.01464895522</v>
      </c>
      <c r="T18" s="102"/>
      <c r="U18" s="102"/>
      <c r="W18" s="98"/>
      <c r="X18" s="102"/>
      <c r="Y18" s="16">
        <v>1.0</v>
      </c>
      <c r="Z18" s="8">
        <f t="shared" si="13"/>
        <v>16750</v>
      </c>
    </row>
    <row r="19">
      <c r="A19" s="15">
        <v>45385.0</v>
      </c>
      <c r="B19" s="97" t="s">
        <v>59</v>
      </c>
      <c r="C19" s="102">
        <v>0.14</v>
      </c>
      <c r="D19" s="102">
        <v>0.35</v>
      </c>
      <c r="E19" s="102">
        <v>0.3</v>
      </c>
      <c r="F19" s="97" t="s">
        <v>199</v>
      </c>
      <c r="G19" s="16">
        <v>0.05</v>
      </c>
      <c r="H19" s="97" t="s">
        <v>116</v>
      </c>
      <c r="I19" s="97" t="s">
        <v>113</v>
      </c>
      <c r="J19" s="16" t="s">
        <v>290</v>
      </c>
      <c r="K19" s="98">
        <v>135.0</v>
      </c>
      <c r="L19" s="16">
        <v>1.0</v>
      </c>
      <c r="M19" s="16">
        <v>244.0</v>
      </c>
      <c r="O19" s="34">
        <f t="shared" si="10"/>
        <v>244</v>
      </c>
      <c r="Q19" s="145">
        <f t="shared" si="11"/>
        <v>244</v>
      </c>
      <c r="R19" s="44" t="s">
        <v>66</v>
      </c>
      <c r="S19" s="53">
        <f t="shared" si="12"/>
        <v>0.01807407407</v>
      </c>
      <c r="Y19" s="16">
        <v>1.0</v>
      </c>
      <c r="Z19" s="8">
        <f t="shared" si="13"/>
        <v>13500</v>
      </c>
    </row>
    <row r="20">
      <c r="A20" s="15">
        <v>45385.0</v>
      </c>
      <c r="B20" s="97" t="s">
        <v>54</v>
      </c>
      <c r="C20" s="102">
        <v>0.14</v>
      </c>
      <c r="D20" s="102">
        <v>0.25</v>
      </c>
      <c r="E20" s="102">
        <v>0.27</v>
      </c>
      <c r="F20" s="97" t="s">
        <v>199</v>
      </c>
      <c r="G20" s="16">
        <v>0.03</v>
      </c>
      <c r="H20" s="97" t="s">
        <v>116</v>
      </c>
      <c r="I20" s="97" t="s">
        <v>113</v>
      </c>
      <c r="J20" s="16" t="s">
        <v>290</v>
      </c>
      <c r="K20" s="98">
        <v>150.0</v>
      </c>
      <c r="L20" s="16">
        <v>1.0</v>
      </c>
      <c r="M20" s="16">
        <v>143.0</v>
      </c>
      <c r="N20" s="16">
        <v>1.05</v>
      </c>
      <c r="O20" s="34">
        <f t="shared" si="10"/>
        <v>141.95</v>
      </c>
      <c r="Q20" s="145">
        <f t="shared" si="11"/>
        <v>141.95</v>
      </c>
      <c r="R20" s="16" t="s">
        <v>288</v>
      </c>
      <c r="S20" s="53">
        <f t="shared" si="12"/>
        <v>0.009463333333</v>
      </c>
      <c r="T20" s="102"/>
      <c r="U20" s="102"/>
      <c r="W20" s="98"/>
      <c r="X20" s="61"/>
      <c r="Z20" s="8">
        <f t="shared" si="13"/>
        <v>15000</v>
      </c>
      <c r="AA20" s="120"/>
    </row>
    <row r="21">
      <c r="A21" s="15">
        <v>45407.0</v>
      </c>
      <c r="B21" s="97" t="s">
        <v>54</v>
      </c>
      <c r="C21" s="53">
        <v>0.166</v>
      </c>
      <c r="D21" s="102">
        <v>1.21</v>
      </c>
      <c r="E21" s="102">
        <v>0.3</v>
      </c>
      <c r="F21" s="97" t="s">
        <v>235</v>
      </c>
      <c r="G21" s="16">
        <v>0.04</v>
      </c>
      <c r="H21" s="97" t="s">
        <v>112</v>
      </c>
      <c r="I21" s="97" t="s">
        <v>113</v>
      </c>
      <c r="J21" s="16" t="s">
        <v>290</v>
      </c>
      <c r="K21" s="98">
        <v>150.0</v>
      </c>
      <c r="L21" s="16">
        <v>1.0</v>
      </c>
      <c r="M21" s="16">
        <v>219.0</v>
      </c>
      <c r="N21" s="16">
        <v>1.05</v>
      </c>
      <c r="O21" s="34">
        <f t="shared" si="10"/>
        <v>217.95</v>
      </c>
      <c r="Q21" s="145">
        <f t="shared" si="11"/>
        <v>217.95</v>
      </c>
      <c r="R21" s="16" t="s">
        <v>288</v>
      </c>
      <c r="S21" s="53">
        <f t="shared" si="12"/>
        <v>0.01453</v>
      </c>
      <c r="T21" s="102">
        <v>0.76</v>
      </c>
      <c r="U21" s="102">
        <v>0.7</v>
      </c>
      <c r="W21" s="98"/>
      <c r="X21" s="61"/>
      <c r="Z21" s="8">
        <f t="shared" si="13"/>
        <v>15000</v>
      </c>
    </row>
    <row r="22">
      <c r="A22" s="15"/>
      <c r="B22" s="97"/>
      <c r="C22" s="102"/>
      <c r="D22" s="102"/>
      <c r="E22" s="102"/>
      <c r="F22" s="97"/>
      <c r="H22" s="103"/>
      <c r="I22" s="97"/>
      <c r="K22" s="98"/>
      <c r="O22" s="34"/>
      <c r="Q22" s="70"/>
      <c r="S22" s="102"/>
      <c r="T22" s="102"/>
      <c r="U22" s="102"/>
      <c r="W22" s="98"/>
      <c r="X22" s="61"/>
      <c r="Z22" s="147">
        <f>sum(Z16:Z21)</f>
        <v>66250</v>
      </c>
      <c r="AA22" s="148">
        <f>sum(Q15:Q21)/Z22</f>
        <v>0.0187725283</v>
      </c>
    </row>
    <row r="23">
      <c r="A23" s="15">
        <v>45407.0</v>
      </c>
      <c r="B23" s="97" t="s">
        <v>60</v>
      </c>
      <c r="C23" s="53">
        <v>0.166</v>
      </c>
      <c r="D23" s="102">
        <v>0.289</v>
      </c>
      <c r="E23" s="102">
        <v>0.197</v>
      </c>
      <c r="F23" s="97" t="s">
        <v>235</v>
      </c>
      <c r="G23" s="16">
        <v>0.03</v>
      </c>
      <c r="H23" s="97" t="s">
        <v>112</v>
      </c>
      <c r="I23" s="97" t="s">
        <v>113</v>
      </c>
      <c r="J23" s="16" t="s">
        <v>292</v>
      </c>
      <c r="K23" s="98">
        <v>175.0</v>
      </c>
      <c r="L23" s="16">
        <v>1.0</v>
      </c>
      <c r="M23" s="16">
        <v>280.0</v>
      </c>
      <c r="N23" s="16">
        <v>1.04</v>
      </c>
      <c r="O23" s="34">
        <f t="shared" ref="O23:O26" si="14">M23-N23</f>
        <v>278.96</v>
      </c>
      <c r="Q23" s="145">
        <f t="shared" ref="Q23:Q26" si="15">sum(O23:P23)</f>
        <v>278.96</v>
      </c>
      <c r="R23" s="16" t="s">
        <v>72</v>
      </c>
      <c r="S23" s="53">
        <f t="shared" ref="S23:S26" si="16">O23/(L23*100)/K23</f>
        <v>0.01594057143</v>
      </c>
      <c r="T23" s="102">
        <v>0.73</v>
      </c>
      <c r="U23" s="102">
        <v>0.65</v>
      </c>
      <c r="W23" s="98"/>
      <c r="X23" s="61"/>
      <c r="Y23" s="16">
        <v>1.0</v>
      </c>
      <c r="Z23" s="8">
        <f t="shared" ref="Z23:Z26" si="17">K23*L23*100</f>
        <v>17500</v>
      </c>
    </row>
    <row r="24">
      <c r="A24" s="15">
        <v>45408.0</v>
      </c>
      <c r="B24" s="97" t="s">
        <v>59</v>
      </c>
      <c r="C24" s="102">
        <v>0.15</v>
      </c>
      <c r="D24" s="102">
        <v>0.61</v>
      </c>
      <c r="E24" s="102">
        <v>0.36</v>
      </c>
      <c r="F24" s="97" t="s">
        <v>235</v>
      </c>
      <c r="G24" s="16">
        <v>0.15</v>
      </c>
      <c r="H24" s="97" t="s">
        <v>112</v>
      </c>
      <c r="I24" s="97" t="s">
        <v>113</v>
      </c>
      <c r="J24" s="16" t="s">
        <v>292</v>
      </c>
      <c r="K24" s="98">
        <v>140.0</v>
      </c>
      <c r="L24" s="16">
        <v>1.0</v>
      </c>
      <c r="M24" s="16">
        <v>250.0</v>
      </c>
      <c r="N24" s="16">
        <v>0.05</v>
      </c>
      <c r="O24" s="34">
        <f t="shared" si="14"/>
        <v>249.95</v>
      </c>
      <c r="Q24" s="145">
        <f t="shared" si="15"/>
        <v>249.95</v>
      </c>
      <c r="R24" s="16" t="s">
        <v>72</v>
      </c>
      <c r="S24" s="53">
        <f t="shared" si="16"/>
        <v>0.01785357143</v>
      </c>
      <c r="T24" s="102">
        <v>0.8</v>
      </c>
      <c r="U24" s="102">
        <v>0.77</v>
      </c>
      <c r="W24" s="98"/>
      <c r="X24" s="61"/>
      <c r="Y24" s="16">
        <v>1.0</v>
      </c>
      <c r="Z24" s="8">
        <f t="shared" si="17"/>
        <v>14000</v>
      </c>
    </row>
    <row r="25">
      <c r="A25" s="15">
        <v>45411.0</v>
      </c>
      <c r="B25" s="97" t="s">
        <v>58</v>
      </c>
      <c r="C25" s="102">
        <v>0.15</v>
      </c>
      <c r="D25" s="102">
        <v>0.48</v>
      </c>
      <c r="E25" s="102">
        <v>0.39</v>
      </c>
      <c r="F25" s="97" t="s">
        <v>199</v>
      </c>
      <c r="G25" s="16">
        <v>0.05</v>
      </c>
      <c r="H25" s="97" t="s">
        <v>112</v>
      </c>
      <c r="I25" s="97" t="s">
        <v>113</v>
      </c>
      <c r="J25" s="16" t="s">
        <v>292</v>
      </c>
      <c r="K25" s="98">
        <v>15.5</v>
      </c>
      <c r="L25" s="16">
        <v>4.0</v>
      </c>
      <c r="M25" s="16">
        <v>216.0</v>
      </c>
      <c r="N25" s="16">
        <v>1.4</v>
      </c>
      <c r="O25" s="34">
        <f t="shared" si="14"/>
        <v>214.6</v>
      </c>
      <c r="Q25" s="145">
        <f t="shared" si="15"/>
        <v>214.6</v>
      </c>
      <c r="R25" s="16" t="s">
        <v>72</v>
      </c>
      <c r="S25" s="53">
        <f t="shared" si="16"/>
        <v>0.03461290323</v>
      </c>
      <c r="T25" s="102">
        <v>0.66</v>
      </c>
      <c r="U25" s="102">
        <v>0.55</v>
      </c>
      <c r="W25" s="98"/>
      <c r="X25" s="61"/>
      <c r="Y25" s="16">
        <v>1.0</v>
      </c>
      <c r="Z25" s="8">
        <f t="shared" si="17"/>
        <v>6200</v>
      </c>
    </row>
    <row r="26">
      <c r="A26" s="15">
        <v>45411.0</v>
      </c>
      <c r="B26" s="97" t="s">
        <v>54</v>
      </c>
      <c r="C26" s="102">
        <v>0.15</v>
      </c>
      <c r="D26" s="102">
        <v>0.28</v>
      </c>
      <c r="E26" s="102">
        <v>0.45</v>
      </c>
      <c r="F26" s="97" t="s">
        <v>199</v>
      </c>
      <c r="G26" s="16">
        <v>0.04</v>
      </c>
      <c r="H26" s="97" t="s">
        <v>116</v>
      </c>
      <c r="I26" s="97" t="s">
        <v>113</v>
      </c>
      <c r="J26" s="16" t="s">
        <v>292</v>
      </c>
      <c r="K26" s="98">
        <v>160.0</v>
      </c>
      <c r="L26" s="16">
        <v>1.0</v>
      </c>
      <c r="M26" s="16">
        <v>164.0</v>
      </c>
      <c r="N26" s="16">
        <v>1.04</v>
      </c>
      <c r="O26" s="34">
        <f t="shared" si="14"/>
        <v>162.96</v>
      </c>
      <c r="Q26" s="145">
        <f t="shared" si="15"/>
        <v>162.96</v>
      </c>
      <c r="R26" s="16" t="s">
        <v>288</v>
      </c>
      <c r="S26" s="53">
        <f t="shared" si="16"/>
        <v>0.010185</v>
      </c>
      <c r="T26" s="102">
        <v>0.8</v>
      </c>
      <c r="U26" s="102">
        <v>0.75</v>
      </c>
      <c r="W26" s="98"/>
      <c r="X26" s="61"/>
      <c r="Z26" s="8">
        <f t="shared" si="17"/>
        <v>16000</v>
      </c>
    </row>
    <row r="27">
      <c r="A27" s="15"/>
      <c r="B27" s="97"/>
      <c r="C27" s="102"/>
      <c r="D27" s="102"/>
      <c r="E27" s="102"/>
      <c r="F27" s="97"/>
      <c r="H27" s="103"/>
      <c r="I27" s="97"/>
      <c r="K27" s="98"/>
      <c r="O27" s="34"/>
      <c r="Q27" s="70"/>
      <c r="S27" s="102"/>
      <c r="T27" s="102"/>
      <c r="U27" s="102"/>
      <c r="W27" s="98"/>
      <c r="X27" s="61"/>
      <c r="Z27" s="147">
        <f>sum(Z23:Z26)</f>
        <v>53700</v>
      </c>
      <c r="AA27" s="148">
        <f>sum(Q23:Q26)/Z27</f>
        <v>0.01688026071</v>
      </c>
    </row>
    <row r="28">
      <c r="A28" s="15">
        <v>45436.0</v>
      </c>
      <c r="B28" s="97" t="s">
        <v>59</v>
      </c>
      <c r="C28" s="102">
        <v>0.12</v>
      </c>
      <c r="D28" s="102">
        <v>0.3</v>
      </c>
      <c r="E28" s="102">
        <v>0.41</v>
      </c>
      <c r="F28" s="97" t="s">
        <v>199</v>
      </c>
      <c r="G28" s="16">
        <v>0.2</v>
      </c>
      <c r="H28" s="97" t="s">
        <v>116</v>
      </c>
      <c r="I28" s="97" t="s">
        <v>113</v>
      </c>
      <c r="J28" s="16" t="s">
        <v>293</v>
      </c>
      <c r="K28" s="98">
        <v>140.0</v>
      </c>
      <c r="L28" s="16">
        <v>1.0</v>
      </c>
      <c r="M28" s="16">
        <v>150.0</v>
      </c>
      <c r="N28" s="16">
        <v>0.05</v>
      </c>
      <c r="O28" s="34">
        <f t="shared" ref="O28:O32" si="18">M28-N28</f>
        <v>149.95</v>
      </c>
      <c r="Q28" s="145">
        <f t="shared" ref="Q28:Q32" si="19">sum(O28:P28)</f>
        <v>149.95</v>
      </c>
      <c r="S28" s="53">
        <f t="shared" ref="S28:S32" si="20">O28/(L28*100)/K28</f>
        <v>0.01071071429</v>
      </c>
      <c r="T28" s="102">
        <v>0.82</v>
      </c>
      <c r="U28" s="102">
        <v>0.79</v>
      </c>
      <c r="V28" s="16">
        <v>13799.0</v>
      </c>
      <c r="X28" s="16">
        <v>0.01</v>
      </c>
      <c r="Z28" s="8">
        <f>K28*L28*100</f>
        <v>14000</v>
      </c>
    </row>
    <row r="29">
      <c r="A29" s="15">
        <v>45436.0</v>
      </c>
      <c r="B29" s="97" t="s">
        <v>58</v>
      </c>
      <c r="C29" s="102">
        <v>0.12</v>
      </c>
      <c r="D29" s="102">
        <v>0.79</v>
      </c>
      <c r="E29" s="102">
        <v>0.42</v>
      </c>
      <c r="F29" s="97" t="s">
        <v>235</v>
      </c>
      <c r="G29" s="16">
        <v>0.1</v>
      </c>
      <c r="H29" s="97" t="s">
        <v>116</v>
      </c>
      <c r="I29" s="97" t="s">
        <v>113</v>
      </c>
      <c r="J29" s="16" t="s">
        <v>293</v>
      </c>
      <c r="K29" s="98">
        <v>14.5</v>
      </c>
      <c r="L29" s="16">
        <v>4.0</v>
      </c>
      <c r="M29" s="16">
        <v>492.0</v>
      </c>
      <c r="N29" s="16">
        <v>1.39</v>
      </c>
      <c r="O29" s="34">
        <f t="shared" si="18"/>
        <v>490.61</v>
      </c>
      <c r="P29" s="8">
        <f>-472-1.41</f>
        <v>-473.41</v>
      </c>
      <c r="Q29" s="145">
        <f t="shared" si="19"/>
        <v>17.2</v>
      </c>
      <c r="R29" s="16" t="s">
        <v>294</v>
      </c>
      <c r="S29" s="53">
        <f t="shared" si="20"/>
        <v>0.08458793103</v>
      </c>
      <c r="T29" s="102">
        <v>0.66</v>
      </c>
      <c r="U29" s="102">
        <v>0.5</v>
      </c>
      <c r="V29" s="16">
        <v>5277.0</v>
      </c>
      <c r="W29" s="98"/>
      <c r="X29" s="16">
        <v>0.09</v>
      </c>
    </row>
    <row r="30">
      <c r="A30" s="15">
        <v>45436.0</v>
      </c>
      <c r="B30" s="97" t="s">
        <v>54</v>
      </c>
      <c r="C30" s="102">
        <v>0.12</v>
      </c>
      <c r="D30" s="102">
        <v>0.21</v>
      </c>
      <c r="E30" s="102">
        <v>0.43</v>
      </c>
      <c r="F30" s="97" t="s">
        <v>199</v>
      </c>
      <c r="G30" s="16">
        <v>0.05</v>
      </c>
      <c r="H30" s="97" t="s">
        <v>116</v>
      </c>
      <c r="I30" s="97" t="s">
        <v>113</v>
      </c>
      <c r="J30" s="16" t="s">
        <v>293</v>
      </c>
      <c r="K30" s="98">
        <v>170.0</v>
      </c>
      <c r="L30" s="16">
        <v>1.0</v>
      </c>
      <c r="M30" s="16">
        <v>193.0</v>
      </c>
      <c r="N30" s="16">
        <v>1.05</v>
      </c>
      <c r="O30" s="34">
        <f t="shared" si="18"/>
        <v>191.95</v>
      </c>
      <c r="Q30" s="145">
        <f t="shared" si="19"/>
        <v>191.95</v>
      </c>
      <c r="S30" s="53">
        <f t="shared" si="20"/>
        <v>0.01129117647</v>
      </c>
      <c r="T30" s="102">
        <v>0.76</v>
      </c>
      <c r="U30" s="102">
        <v>0.7</v>
      </c>
      <c r="V30" s="16">
        <v>16756.0</v>
      </c>
      <c r="W30" s="98"/>
      <c r="X30" s="16">
        <v>0.01</v>
      </c>
      <c r="Z30" s="8">
        <f t="shared" ref="Z30:Z32" si="21">K30*L30*100</f>
        <v>17000</v>
      </c>
    </row>
    <row r="31">
      <c r="A31" s="15">
        <v>45447.0</v>
      </c>
      <c r="B31" s="97" t="s">
        <v>60</v>
      </c>
      <c r="C31" s="102">
        <v>0.136</v>
      </c>
      <c r="D31" s="102">
        <v>0.23</v>
      </c>
      <c r="E31" s="102">
        <v>0.29</v>
      </c>
      <c r="F31" s="97" t="s">
        <v>199</v>
      </c>
      <c r="G31" s="16">
        <v>0.03</v>
      </c>
      <c r="H31" s="97" t="s">
        <v>112</v>
      </c>
      <c r="I31" s="97" t="s">
        <v>113</v>
      </c>
      <c r="J31" s="16" t="s">
        <v>293</v>
      </c>
      <c r="K31" s="98">
        <v>202.5</v>
      </c>
      <c r="L31" s="16">
        <v>1.0</v>
      </c>
      <c r="M31" s="16">
        <v>140.0</v>
      </c>
      <c r="N31" s="16">
        <v>1.05</v>
      </c>
      <c r="O31" s="34">
        <f t="shared" si="18"/>
        <v>138.95</v>
      </c>
      <c r="Q31" s="145">
        <f t="shared" si="19"/>
        <v>138.95</v>
      </c>
      <c r="R31" s="44" t="s">
        <v>72</v>
      </c>
      <c r="S31" s="53">
        <f t="shared" si="20"/>
        <v>0.006861728395</v>
      </c>
      <c r="T31" s="102">
        <v>0.8</v>
      </c>
      <c r="U31" s="102">
        <v>0.76</v>
      </c>
      <c r="W31" s="98"/>
      <c r="X31" s="61"/>
      <c r="Y31" s="16">
        <v>1.0</v>
      </c>
      <c r="Z31" s="8">
        <f t="shared" si="21"/>
        <v>20250</v>
      </c>
    </row>
    <row r="32">
      <c r="A32" s="15">
        <v>45447.0</v>
      </c>
      <c r="B32" s="97" t="s">
        <v>58</v>
      </c>
      <c r="C32" s="102">
        <v>0.136</v>
      </c>
      <c r="D32" s="102">
        <v>0.45</v>
      </c>
      <c r="E32" s="102">
        <v>0.65</v>
      </c>
      <c r="F32" s="97" t="s">
        <v>199</v>
      </c>
      <c r="G32" s="16">
        <v>0.05</v>
      </c>
      <c r="H32" s="97" t="s">
        <v>112</v>
      </c>
      <c r="I32" s="97" t="s">
        <v>113</v>
      </c>
      <c r="J32" s="16" t="s">
        <v>293</v>
      </c>
      <c r="K32" s="98">
        <v>14.5</v>
      </c>
      <c r="L32" s="16">
        <v>4.0</v>
      </c>
      <c r="M32" s="16">
        <v>136.0</v>
      </c>
      <c r="N32" s="16">
        <v>1.4</v>
      </c>
      <c r="O32" s="34">
        <f t="shared" si="18"/>
        <v>134.6</v>
      </c>
      <c r="Q32" s="145">
        <f t="shared" si="19"/>
        <v>134.6</v>
      </c>
      <c r="S32" s="53">
        <f t="shared" si="20"/>
        <v>0.02320689655</v>
      </c>
      <c r="T32" s="102">
        <v>0.85</v>
      </c>
      <c r="U32" s="102"/>
      <c r="W32" s="98"/>
      <c r="X32" s="61"/>
      <c r="Z32" s="8">
        <f t="shared" si="21"/>
        <v>5800</v>
      </c>
    </row>
    <row r="33">
      <c r="A33" s="15"/>
      <c r="B33" s="97"/>
      <c r="C33" s="102"/>
      <c r="D33" s="102"/>
      <c r="E33" s="102"/>
      <c r="F33" s="97"/>
      <c r="H33" s="103"/>
      <c r="I33" s="97"/>
      <c r="K33" s="98"/>
      <c r="O33" s="34"/>
      <c r="Q33" s="70"/>
      <c r="S33" s="102"/>
      <c r="T33" s="102"/>
      <c r="U33" s="102"/>
      <c r="W33" s="98"/>
      <c r="X33" s="61"/>
      <c r="Z33" s="147">
        <f>sum(Z28:Z32)</f>
        <v>57050</v>
      </c>
      <c r="AA33" s="148">
        <f>sum(Q28:Q32)/Z33</f>
        <v>0.01108939527</v>
      </c>
    </row>
    <row r="34">
      <c r="A34" s="15">
        <v>45460.0</v>
      </c>
      <c r="B34" s="97" t="s">
        <v>59</v>
      </c>
      <c r="C34" s="102">
        <v>0.13</v>
      </c>
      <c r="D34" s="102">
        <v>0.33</v>
      </c>
      <c r="E34" s="102">
        <v>0.4</v>
      </c>
      <c r="F34" s="97" t="s">
        <v>199</v>
      </c>
      <c r="G34" s="16">
        <v>0.2</v>
      </c>
      <c r="H34" s="97" t="s">
        <v>116</v>
      </c>
      <c r="I34" s="97" t="s">
        <v>113</v>
      </c>
      <c r="J34" s="16" t="s">
        <v>295</v>
      </c>
      <c r="K34" s="98">
        <v>150.0</v>
      </c>
      <c r="L34" s="16">
        <v>1.0</v>
      </c>
      <c r="M34" s="16">
        <v>211.0</v>
      </c>
      <c r="N34" s="16">
        <v>0.01</v>
      </c>
      <c r="O34" s="34">
        <f t="shared" ref="O34:O40" si="22">M34-N34</f>
        <v>210.99</v>
      </c>
      <c r="Q34" s="145">
        <f t="shared" ref="Q34:Q40" si="23">sum(O34:P34)</f>
        <v>210.99</v>
      </c>
      <c r="R34" s="44" t="s">
        <v>255</v>
      </c>
      <c r="S34" s="53">
        <f t="shared" ref="S34:S40" si="24">O34/(L34*100)/K34</f>
        <v>0.014066</v>
      </c>
      <c r="T34" s="102">
        <v>0.82</v>
      </c>
      <c r="U34" s="102">
        <v>0.78</v>
      </c>
      <c r="V34" s="16">
        <v>14724.0</v>
      </c>
      <c r="W34" s="98"/>
      <c r="X34" s="16">
        <v>0.01</v>
      </c>
      <c r="Y34" s="16">
        <v>1.0</v>
      </c>
      <c r="Z34" s="8">
        <f>K34*L34*100</f>
        <v>15000</v>
      </c>
    </row>
    <row r="35">
      <c r="A35" s="15">
        <v>45467.0</v>
      </c>
      <c r="B35" s="97" t="s">
        <v>60</v>
      </c>
      <c r="C35" s="102">
        <v>0.13</v>
      </c>
      <c r="D35" s="102">
        <v>0.2</v>
      </c>
      <c r="E35" s="102">
        <v>0.23</v>
      </c>
      <c r="F35" s="97" t="s">
        <v>199</v>
      </c>
      <c r="H35" s="97" t="s">
        <v>116</v>
      </c>
      <c r="I35" s="97" t="s">
        <v>113</v>
      </c>
      <c r="J35" s="16" t="s">
        <v>295</v>
      </c>
      <c r="K35" s="98">
        <v>202.5</v>
      </c>
      <c r="L35" s="16">
        <v>1.0</v>
      </c>
      <c r="M35" s="16">
        <v>170.0</v>
      </c>
      <c r="N35" s="16">
        <v>1.04</v>
      </c>
      <c r="O35" s="34">
        <f t="shared" si="22"/>
        <v>168.96</v>
      </c>
      <c r="P35" s="16">
        <v>-46.8</v>
      </c>
      <c r="Q35" s="145">
        <f t="shared" si="23"/>
        <v>122.16</v>
      </c>
      <c r="R35" s="16" t="s">
        <v>296</v>
      </c>
      <c r="S35" s="53">
        <f t="shared" si="24"/>
        <v>0.008343703704</v>
      </c>
      <c r="T35" s="102">
        <v>0.79</v>
      </c>
      <c r="U35" s="102">
        <v>0.75</v>
      </c>
      <c r="V35" s="16">
        <v>20001.0</v>
      </c>
      <c r="W35" s="98"/>
      <c r="X35" s="16">
        <v>0.01</v>
      </c>
    </row>
    <row r="36">
      <c r="A36" s="15">
        <v>45467.0</v>
      </c>
      <c r="B36" s="97" t="s">
        <v>54</v>
      </c>
      <c r="C36" s="102">
        <v>0.13</v>
      </c>
      <c r="D36" s="102">
        <v>0.21</v>
      </c>
      <c r="E36" s="102">
        <v>0.2</v>
      </c>
      <c r="F36" s="97" t="s">
        <v>199</v>
      </c>
      <c r="G36" s="16">
        <v>0.05</v>
      </c>
      <c r="H36" s="97" t="s">
        <v>116</v>
      </c>
      <c r="I36" s="97" t="s">
        <v>113</v>
      </c>
      <c r="J36" s="16" t="s">
        <v>295</v>
      </c>
      <c r="K36" s="98">
        <v>172.5</v>
      </c>
      <c r="L36" s="16">
        <v>1.0</v>
      </c>
      <c r="M36" s="16">
        <v>144.0</v>
      </c>
      <c r="N36" s="16">
        <v>0.8</v>
      </c>
      <c r="O36" s="34">
        <f t="shared" si="22"/>
        <v>143.2</v>
      </c>
      <c r="P36" s="16">
        <v>-28.46</v>
      </c>
      <c r="Q36" s="145">
        <f t="shared" si="23"/>
        <v>114.74</v>
      </c>
      <c r="R36" s="16" t="s">
        <v>296</v>
      </c>
      <c r="S36" s="53">
        <f t="shared" si="24"/>
        <v>0.008301449275</v>
      </c>
      <c r="T36" s="102">
        <v>0.81</v>
      </c>
      <c r="U36" s="102">
        <v>0.76</v>
      </c>
      <c r="V36" s="16">
        <v>17042.0</v>
      </c>
      <c r="W36" s="98"/>
      <c r="X36" s="16">
        <v>0.01</v>
      </c>
    </row>
    <row r="37">
      <c r="A37" s="15">
        <v>45467.0</v>
      </c>
      <c r="B37" s="97" t="s">
        <v>58</v>
      </c>
      <c r="C37" s="102">
        <v>0.13</v>
      </c>
      <c r="D37" s="102">
        <v>0.47</v>
      </c>
      <c r="E37" s="102">
        <v>0.66</v>
      </c>
      <c r="F37" s="97" t="s">
        <v>199</v>
      </c>
      <c r="G37" s="16">
        <v>0.1</v>
      </c>
      <c r="H37" s="97" t="s">
        <v>116</v>
      </c>
      <c r="I37" s="97" t="s">
        <v>113</v>
      </c>
      <c r="J37" s="16" t="s">
        <v>295</v>
      </c>
      <c r="K37" s="98">
        <v>12.5</v>
      </c>
      <c r="L37" s="16">
        <v>4.0</v>
      </c>
      <c r="M37" s="16">
        <v>216.0</v>
      </c>
      <c r="N37" s="16">
        <v>1.4</v>
      </c>
      <c r="O37" s="34">
        <f t="shared" si="22"/>
        <v>214.6</v>
      </c>
      <c r="Q37" s="145">
        <f t="shared" si="23"/>
        <v>214.6</v>
      </c>
      <c r="S37" s="53">
        <f t="shared" si="24"/>
        <v>0.04292</v>
      </c>
      <c r="T37" s="102">
        <v>0.66</v>
      </c>
      <c r="U37" s="102">
        <v>0.53</v>
      </c>
      <c r="V37" s="16">
        <v>4781.0</v>
      </c>
      <c r="W37" s="98"/>
      <c r="X37" s="16">
        <v>0.04</v>
      </c>
      <c r="Z37" s="8">
        <f>K37*L37*100</f>
        <v>5000</v>
      </c>
    </row>
    <row r="38">
      <c r="A38" s="15">
        <v>45474.0</v>
      </c>
      <c r="B38" s="97" t="s">
        <v>60</v>
      </c>
      <c r="C38" s="102">
        <v>0.12</v>
      </c>
      <c r="D38" s="102">
        <v>0.2</v>
      </c>
      <c r="E38" s="102">
        <v>0.23</v>
      </c>
      <c r="F38" s="97" t="s">
        <v>199</v>
      </c>
      <c r="G38" s="16">
        <v>0.03</v>
      </c>
      <c r="H38" s="97" t="s">
        <v>116</v>
      </c>
      <c r="I38" s="97" t="s">
        <v>113</v>
      </c>
      <c r="J38" s="16" t="s">
        <v>295</v>
      </c>
      <c r="K38" s="98">
        <v>210.0</v>
      </c>
      <c r="L38" s="16">
        <v>1.0</v>
      </c>
      <c r="M38" s="16">
        <v>157.0</v>
      </c>
      <c r="N38" s="16">
        <v>1.04</v>
      </c>
      <c r="O38" s="34">
        <f t="shared" si="22"/>
        <v>155.96</v>
      </c>
      <c r="P38" s="16">
        <v>-10.5</v>
      </c>
      <c r="Q38" s="145">
        <f t="shared" si="23"/>
        <v>145.46</v>
      </c>
      <c r="R38" s="16" t="s">
        <v>296</v>
      </c>
      <c r="S38" s="53">
        <f t="shared" si="24"/>
        <v>0.007426666667</v>
      </c>
      <c r="T38" s="102">
        <v>0.79</v>
      </c>
      <c r="U38" s="102">
        <v>0.74</v>
      </c>
      <c r="V38" s="16">
        <v>20786.0</v>
      </c>
      <c r="W38" s="98"/>
      <c r="X38" s="61"/>
    </row>
    <row r="39">
      <c r="A39" s="15">
        <v>45475.0</v>
      </c>
      <c r="B39" s="97" t="s">
        <v>54</v>
      </c>
      <c r="C39" s="102">
        <v>0.12</v>
      </c>
      <c r="D39" s="102">
        <v>0.19</v>
      </c>
      <c r="E39" s="102">
        <v>0.19</v>
      </c>
      <c r="F39" s="97" t="s">
        <v>199</v>
      </c>
      <c r="G39" s="16">
        <v>0.04</v>
      </c>
      <c r="H39" s="97" t="s">
        <v>116</v>
      </c>
      <c r="I39" s="97" t="s">
        <v>113</v>
      </c>
      <c r="J39" s="16" t="s">
        <v>295</v>
      </c>
      <c r="K39" s="98">
        <v>180.0</v>
      </c>
      <c r="L39" s="16">
        <v>1.0</v>
      </c>
      <c r="M39" s="16">
        <v>118.0</v>
      </c>
      <c r="N39" s="16">
        <v>0.8</v>
      </c>
      <c r="O39" s="34">
        <f t="shared" si="22"/>
        <v>117.2</v>
      </c>
      <c r="Q39" s="145">
        <f t="shared" si="23"/>
        <v>117.2</v>
      </c>
      <c r="R39" s="44" t="s">
        <v>255</v>
      </c>
      <c r="S39" s="53">
        <f t="shared" si="24"/>
        <v>0.006511111111</v>
      </c>
      <c r="T39" s="102">
        <v>0.81</v>
      </c>
      <c r="U39" s="102">
        <v>0.77</v>
      </c>
      <c r="V39" s="16">
        <v>17846.0</v>
      </c>
      <c r="W39" s="98"/>
      <c r="X39" s="16">
        <v>0.01</v>
      </c>
      <c r="Y39" s="16">
        <v>1.0</v>
      </c>
      <c r="Z39" s="8">
        <f t="shared" ref="Z39:Z40" si="25">K39*L39*100</f>
        <v>18000</v>
      </c>
      <c r="AA39" s="120"/>
    </row>
    <row r="40">
      <c r="A40" s="15">
        <v>45485.0</v>
      </c>
      <c r="B40" s="97" t="s">
        <v>60</v>
      </c>
      <c r="C40" s="102">
        <v>0.12</v>
      </c>
      <c r="D40" s="102">
        <v>0.2</v>
      </c>
      <c r="E40" s="102">
        <v>0.24</v>
      </c>
      <c r="F40" s="97" t="s">
        <v>199</v>
      </c>
      <c r="G40" s="16">
        <v>0.03</v>
      </c>
      <c r="H40" s="97" t="s">
        <v>116</v>
      </c>
      <c r="I40" s="97" t="s">
        <v>113</v>
      </c>
      <c r="J40" s="16" t="s">
        <v>295</v>
      </c>
      <c r="K40" s="98">
        <v>227.5</v>
      </c>
      <c r="L40" s="16">
        <v>1.0</v>
      </c>
      <c r="M40" s="16">
        <v>139.0</v>
      </c>
      <c r="N40" s="16">
        <v>1.05</v>
      </c>
      <c r="O40" s="34">
        <f t="shared" si="22"/>
        <v>137.95</v>
      </c>
      <c r="Q40" s="145">
        <f t="shared" si="23"/>
        <v>137.95</v>
      </c>
      <c r="R40" s="44" t="s">
        <v>255</v>
      </c>
      <c r="S40" s="53">
        <f t="shared" si="24"/>
        <v>0.006063736264</v>
      </c>
      <c r="T40" s="102">
        <v>0.82</v>
      </c>
      <c r="U40" s="102">
        <v>0.78</v>
      </c>
      <c r="V40" s="16">
        <v>22636.0</v>
      </c>
      <c r="W40" s="98"/>
      <c r="X40" s="16">
        <v>0.0</v>
      </c>
      <c r="Y40" s="16">
        <v>1.0</v>
      </c>
      <c r="Z40" s="8">
        <f t="shared" si="25"/>
        <v>22750</v>
      </c>
    </row>
    <row r="41">
      <c r="A41" s="15"/>
      <c r="B41" s="97"/>
      <c r="C41" s="102"/>
      <c r="D41" s="102"/>
      <c r="E41" s="102"/>
      <c r="F41" s="97"/>
      <c r="H41" s="103"/>
      <c r="I41" s="97"/>
      <c r="K41" s="98"/>
      <c r="O41" s="34"/>
      <c r="Q41" s="70"/>
      <c r="S41" s="102"/>
      <c r="T41" s="102"/>
      <c r="U41" s="102"/>
      <c r="W41" s="98"/>
      <c r="X41" s="61"/>
      <c r="Z41" s="147">
        <f>sum(Z35:Z40)</f>
        <v>45750</v>
      </c>
      <c r="AA41" s="148">
        <f>sum(Q34:Q40)/Z41</f>
        <v>0.02323715847</v>
      </c>
    </row>
    <row r="42">
      <c r="A42" s="15">
        <v>45495.0</v>
      </c>
      <c r="B42" s="97" t="s">
        <v>60</v>
      </c>
      <c r="C42" s="102">
        <v>0.15</v>
      </c>
      <c r="D42" s="102">
        <v>0.27</v>
      </c>
      <c r="E42" s="102">
        <v>0.27</v>
      </c>
      <c r="F42" s="97" t="s">
        <v>235</v>
      </c>
      <c r="G42" s="16">
        <v>0.03</v>
      </c>
      <c r="H42" s="97" t="s">
        <v>112</v>
      </c>
      <c r="I42" s="97" t="s">
        <v>113</v>
      </c>
      <c r="J42" s="16" t="s">
        <v>297</v>
      </c>
      <c r="K42" s="98">
        <v>240.0</v>
      </c>
      <c r="L42" s="16">
        <v>1.0</v>
      </c>
      <c r="M42" s="16">
        <v>154.0</v>
      </c>
      <c r="N42" s="16">
        <v>1.04</v>
      </c>
      <c r="O42" s="34">
        <f t="shared" ref="O42:O46" si="26">M42-N42</f>
        <v>152.96</v>
      </c>
      <c r="P42" s="16">
        <v>-10.05</v>
      </c>
      <c r="Q42" s="145">
        <f t="shared" ref="Q42:Q46" si="27">sum(O42:P42)</f>
        <v>142.91</v>
      </c>
      <c r="R42" s="16" t="s">
        <v>296</v>
      </c>
      <c r="S42" s="53">
        <f t="shared" ref="S42:S46" si="28">O42/(L42*100)/K42</f>
        <v>0.006373333333</v>
      </c>
      <c r="T42" s="102">
        <v>0.83</v>
      </c>
      <c r="U42" s="102">
        <v>0.81</v>
      </c>
      <c r="W42" s="98"/>
      <c r="X42" s="61"/>
    </row>
    <row r="43">
      <c r="A43" s="15">
        <v>45495.0</v>
      </c>
      <c r="B43" s="97" t="s">
        <v>54</v>
      </c>
      <c r="C43" s="102">
        <v>0.15</v>
      </c>
      <c r="D43" s="102">
        <v>0.37</v>
      </c>
      <c r="E43" s="102">
        <v>0.2</v>
      </c>
      <c r="F43" s="97" t="s">
        <v>235</v>
      </c>
      <c r="G43" s="16">
        <v>0.05</v>
      </c>
      <c r="H43" s="97" t="s">
        <v>112</v>
      </c>
      <c r="I43" s="97" t="s">
        <v>113</v>
      </c>
      <c r="J43" s="16" t="s">
        <v>297</v>
      </c>
      <c r="K43" s="98">
        <v>200.0</v>
      </c>
      <c r="L43" s="16">
        <v>1.0</v>
      </c>
      <c r="M43" s="16">
        <v>174.0</v>
      </c>
      <c r="N43" s="16">
        <v>1.04</v>
      </c>
      <c r="O43" s="34">
        <f t="shared" si="26"/>
        <v>172.96</v>
      </c>
      <c r="P43" s="16">
        <v>-11.05</v>
      </c>
      <c r="Q43" s="145">
        <f t="shared" si="27"/>
        <v>161.91</v>
      </c>
      <c r="R43" s="16" t="s">
        <v>296</v>
      </c>
      <c r="S43" s="53">
        <f t="shared" si="28"/>
        <v>0.008648</v>
      </c>
      <c r="T43" s="102">
        <v>0.84</v>
      </c>
      <c r="U43" s="102">
        <v>0.82</v>
      </c>
      <c r="W43" s="98"/>
      <c r="X43" s="61"/>
    </row>
    <row r="44">
      <c r="A44" s="15">
        <v>45495.0</v>
      </c>
      <c r="B44" s="97" t="s">
        <v>59</v>
      </c>
      <c r="C44" s="102">
        <v>0.15</v>
      </c>
      <c r="D44" s="102">
        <v>0.59</v>
      </c>
      <c r="E44" s="102">
        <v>0.37</v>
      </c>
      <c r="F44" s="97" t="s">
        <v>235</v>
      </c>
      <c r="G44" s="16">
        <v>0.2</v>
      </c>
      <c r="H44" s="97" t="s">
        <v>116</v>
      </c>
      <c r="I44" s="97" t="s">
        <v>113</v>
      </c>
      <c r="J44" s="16" t="s">
        <v>297</v>
      </c>
      <c r="K44" s="98">
        <v>125.0</v>
      </c>
      <c r="L44" s="16">
        <v>1.0</v>
      </c>
      <c r="M44" s="16">
        <v>471.0</v>
      </c>
      <c r="N44" s="16">
        <v>0.26</v>
      </c>
      <c r="O44" s="34">
        <f t="shared" si="26"/>
        <v>470.74</v>
      </c>
      <c r="Q44" s="145">
        <f t="shared" si="27"/>
        <v>470.74</v>
      </c>
      <c r="R44" s="16" t="s">
        <v>288</v>
      </c>
      <c r="S44" s="53">
        <f t="shared" si="28"/>
        <v>0.0376592</v>
      </c>
      <c r="T44" s="102">
        <v>0.73</v>
      </c>
      <c r="U44" s="102">
        <v>0.65</v>
      </c>
      <c r="V44" s="16">
        <v>11996.0</v>
      </c>
      <c r="W44" s="98"/>
      <c r="X44" s="61"/>
      <c r="Z44" s="8">
        <f t="shared" ref="Z44:Z46" si="29">K44*L44*100</f>
        <v>12500</v>
      </c>
    </row>
    <row r="45">
      <c r="A45" s="15">
        <v>45497.0</v>
      </c>
      <c r="B45" s="97" t="s">
        <v>58</v>
      </c>
      <c r="C45" s="102">
        <v>0.17</v>
      </c>
      <c r="D45" s="102">
        <v>0.5</v>
      </c>
      <c r="E45" s="102">
        <v>0.46</v>
      </c>
      <c r="F45" s="97" t="s">
        <v>199</v>
      </c>
      <c r="G45" s="16">
        <v>0.1</v>
      </c>
      <c r="H45" s="97" t="s">
        <v>116</v>
      </c>
      <c r="I45" s="97" t="s">
        <v>113</v>
      </c>
      <c r="J45" s="16" t="s">
        <v>297</v>
      </c>
      <c r="K45" s="98">
        <v>14.0</v>
      </c>
      <c r="L45" s="16">
        <v>4.0</v>
      </c>
      <c r="M45" s="16">
        <v>216.0</v>
      </c>
      <c r="N45" s="16">
        <v>1.4</v>
      </c>
      <c r="O45" s="34">
        <f t="shared" si="26"/>
        <v>214.6</v>
      </c>
      <c r="Q45" s="145">
        <f t="shared" si="27"/>
        <v>214.6</v>
      </c>
      <c r="R45" s="44" t="s">
        <v>255</v>
      </c>
      <c r="S45" s="53">
        <f t="shared" si="28"/>
        <v>0.03832142857</v>
      </c>
      <c r="T45" s="102">
        <v>0.67</v>
      </c>
      <c r="U45" s="102">
        <v>0.55</v>
      </c>
      <c r="V45" s="16">
        <v>5361.0</v>
      </c>
      <c r="W45" s="98"/>
      <c r="X45" s="16">
        <v>0.04</v>
      </c>
      <c r="Y45" s="16">
        <v>1.0</v>
      </c>
      <c r="Z45" s="8">
        <f t="shared" si="29"/>
        <v>5600</v>
      </c>
    </row>
    <row r="46">
      <c r="A46" s="15">
        <v>45502.0</v>
      </c>
      <c r="B46" s="97" t="s">
        <v>54</v>
      </c>
      <c r="C46" s="102">
        <v>0.16</v>
      </c>
      <c r="D46" s="102">
        <v>0.27</v>
      </c>
      <c r="E46" s="102">
        <v>0.25</v>
      </c>
      <c r="F46" s="97" t="s">
        <v>199</v>
      </c>
      <c r="G46" s="16">
        <v>0.03</v>
      </c>
      <c r="H46" s="97" t="s">
        <v>112</v>
      </c>
      <c r="I46" s="97" t="s">
        <v>113</v>
      </c>
      <c r="J46" s="16" t="s">
        <v>297</v>
      </c>
      <c r="K46" s="98">
        <v>180.0</v>
      </c>
      <c r="L46" s="16">
        <v>1.0</v>
      </c>
      <c r="M46" s="16">
        <v>95.0</v>
      </c>
      <c r="N46" s="16">
        <v>1.04</v>
      </c>
      <c r="O46" s="34">
        <f t="shared" si="26"/>
        <v>93.96</v>
      </c>
      <c r="Q46" s="145">
        <f t="shared" si="27"/>
        <v>93.96</v>
      </c>
      <c r="R46" s="16" t="s">
        <v>288</v>
      </c>
      <c r="S46" s="53">
        <f t="shared" si="28"/>
        <v>0.00522</v>
      </c>
      <c r="T46" s="102">
        <v>0.84</v>
      </c>
      <c r="U46" s="102">
        <v>0.82</v>
      </c>
      <c r="W46" s="98"/>
      <c r="X46" s="61"/>
      <c r="Z46" s="8">
        <f t="shared" si="29"/>
        <v>18000</v>
      </c>
    </row>
    <row r="47">
      <c r="A47" s="15"/>
      <c r="B47" s="97"/>
      <c r="C47" s="102"/>
      <c r="D47" s="102"/>
      <c r="E47" s="102"/>
      <c r="F47" s="97"/>
      <c r="H47" s="103"/>
      <c r="I47" s="97"/>
      <c r="K47" s="98"/>
      <c r="O47" s="34"/>
      <c r="Q47" s="70"/>
      <c r="S47" s="102"/>
      <c r="T47" s="102"/>
      <c r="U47" s="102"/>
      <c r="W47" s="98"/>
      <c r="X47" s="61"/>
      <c r="Z47" s="147">
        <f>sum(Z42:Z46)</f>
        <v>36100</v>
      </c>
      <c r="AA47" s="148">
        <f>sum(Q42:Q46)/Z47</f>
        <v>0.03003102493</v>
      </c>
    </row>
    <row r="48">
      <c r="A48" s="15">
        <v>45523.0</v>
      </c>
      <c r="B48" s="97" t="s">
        <v>54</v>
      </c>
      <c r="C48" s="102">
        <v>0.16</v>
      </c>
      <c r="D48" s="102">
        <v>0.23</v>
      </c>
      <c r="E48" s="102">
        <v>0.37</v>
      </c>
      <c r="F48" s="97" t="s">
        <v>199</v>
      </c>
      <c r="G48" s="16">
        <v>0.03</v>
      </c>
      <c r="H48" s="97" t="s">
        <v>112</v>
      </c>
      <c r="I48" s="97" t="s">
        <v>113</v>
      </c>
      <c r="J48" s="16" t="s">
        <v>298</v>
      </c>
      <c r="K48" s="98">
        <v>175.0</v>
      </c>
      <c r="L48" s="16">
        <v>1.0</v>
      </c>
      <c r="M48" s="16">
        <v>154.0</v>
      </c>
      <c r="N48" s="16">
        <v>1.05</v>
      </c>
      <c r="O48" s="34">
        <f t="shared" ref="O48:O53" si="30">M48-N48</f>
        <v>152.95</v>
      </c>
      <c r="P48" s="16">
        <v>-13.11</v>
      </c>
      <c r="Q48" s="145">
        <f t="shared" ref="Q48:Q53" si="31">sum(O48:P48)</f>
        <v>139.84</v>
      </c>
      <c r="R48" s="16" t="s">
        <v>296</v>
      </c>
      <c r="S48" s="53">
        <f t="shared" ref="S48:S53" si="32">O48/(L48*100)/K48</f>
        <v>0.00874</v>
      </c>
      <c r="T48" s="102">
        <v>0.76</v>
      </c>
      <c r="U48" s="102">
        <v>0.71</v>
      </c>
      <c r="W48" s="98"/>
      <c r="X48" s="61"/>
    </row>
    <row r="49">
      <c r="A49" s="15">
        <v>45523.0</v>
      </c>
      <c r="B49" s="97" t="s">
        <v>58</v>
      </c>
      <c r="C49" s="102">
        <v>0.16</v>
      </c>
      <c r="D49" s="102">
        <v>0.78</v>
      </c>
      <c r="E49" s="102">
        <v>0.56</v>
      </c>
      <c r="F49" s="97" t="s">
        <v>235</v>
      </c>
      <c r="G49" s="16">
        <v>0.1</v>
      </c>
      <c r="H49" s="97" t="s">
        <v>112</v>
      </c>
      <c r="I49" s="97" t="s">
        <v>113</v>
      </c>
      <c r="J49" s="16" t="s">
        <v>298</v>
      </c>
      <c r="K49" s="98">
        <v>14.5</v>
      </c>
      <c r="L49" s="16">
        <v>4.0</v>
      </c>
      <c r="M49" s="16">
        <v>324.0</v>
      </c>
      <c r="N49" s="16">
        <v>0.39</v>
      </c>
      <c r="O49" s="34">
        <f t="shared" si="30"/>
        <v>323.61</v>
      </c>
      <c r="P49" s="16">
        <v>-41.61</v>
      </c>
      <c r="Q49" s="145">
        <f t="shared" si="31"/>
        <v>282</v>
      </c>
      <c r="R49" s="16" t="s">
        <v>296</v>
      </c>
      <c r="S49" s="53">
        <f t="shared" si="32"/>
        <v>0.05579482759</v>
      </c>
      <c r="T49" s="102">
        <v>0.7</v>
      </c>
      <c r="U49" s="102">
        <v>0.61</v>
      </c>
      <c r="W49" s="98"/>
      <c r="X49" s="61"/>
    </row>
    <row r="50">
      <c r="A50" s="15">
        <v>45523.0</v>
      </c>
      <c r="B50" s="97" t="s">
        <v>59</v>
      </c>
      <c r="C50" s="102">
        <v>0.16</v>
      </c>
      <c r="D50" s="102">
        <v>0.32</v>
      </c>
      <c r="E50" s="102">
        <v>0.54</v>
      </c>
      <c r="F50" s="97" t="s">
        <v>199</v>
      </c>
      <c r="G50" s="16">
        <v>0.15</v>
      </c>
      <c r="H50" s="97" t="s">
        <v>112</v>
      </c>
      <c r="I50" s="97" t="s">
        <v>113</v>
      </c>
      <c r="J50" s="16" t="s">
        <v>298</v>
      </c>
      <c r="K50" s="98">
        <v>150.0</v>
      </c>
      <c r="L50" s="16">
        <v>1.0</v>
      </c>
      <c r="M50" s="16">
        <v>174.0</v>
      </c>
      <c r="N50" s="16">
        <v>0.25</v>
      </c>
      <c r="O50" s="34">
        <f t="shared" si="30"/>
        <v>173.75</v>
      </c>
      <c r="Q50" s="145">
        <f t="shared" si="31"/>
        <v>173.75</v>
      </c>
      <c r="R50" s="16" t="s">
        <v>288</v>
      </c>
      <c r="S50" s="53">
        <f t="shared" si="32"/>
        <v>0.01158333333</v>
      </c>
      <c r="T50" s="102">
        <v>0.85</v>
      </c>
      <c r="U50" s="102">
        <v>0.84</v>
      </c>
      <c r="W50" s="98"/>
      <c r="X50" s="61"/>
      <c r="Z50" s="8">
        <f t="shared" ref="Z50:Z53" si="33">K50*L50*100</f>
        <v>15000</v>
      </c>
    </row>
    <row r="51">
      <c r="A51" s="15">
        <v>45524.0</v>
      </c>
      <c r="B51" s="97" t="s">
        <v>60</v>
      </c>
      <c r="C51" s="102">
        <v>0.16</v>
      </c>
      <c r="D51" s="102">
        <v>0.2</v>
      </c>
      <c r="E51" s="102">
        <v>0.42</v>
      </c>
      <c r="F51" s="97" t="s">
        <v>199</v>
      </c>
      <c r="G51" s="16">
        <v>0.03</v>
      </c>
      <c r="H51" s="97" t="s">
        <v>112</v>
      </c>
      <c r="I51" s="97" t="s">
        <v>113</v>
      </c>
      <c r="J51" s="16" t="s">
        <v>298</v>
      </c>
      <c r="K51" s="98">
        <v>235.0</v>
      </c>
      <c r="L51" s="16">
        <v>1.0</v>
      </c>
      <c r="M51" s="16">
        <v>257.0</v>
      </c>
      <c r="N51" s="16">
        <v>0.81</v>
      </c>
      <c r="O51" s="34">
        <f t="shared" si="30"/>
        <v>256.19</v>
      </c>
      <c r="Q51" s="145">
        <f t="shared" si="31"/>
        <v>256.19</v>
      </c>
      <c r="R51" s="16" t="s">
        <v>288</v>
      </c>
      <c r="S51" s="53">
        <f t="shared" si="32"/>
        <v>0.01090170213</v>
      </c>
      <c r="T51" s="102">
        <v>0.75</v>
      </c>
      <c r="U51" s="102">
        <v>0.69</v>
      </c>
      <c r="W51" s="98"/>
      <c r="X51" s="61"/>
      <c r="Z51" s="8">
        <f t="shared" si="33"/>
        <v>23500</v>
      </c>
    </row>
    <row r="52">
      <c r="A52" s="15">
        <v>45545.0</v>
      </c>
      <c r="B52" s="97" t="s">
        <v>60</v>
      </c>
      <c r="C52" s="102">
        <v>0.19</v>
      </c>
      <c r="D52" s="102">
        <v>0.27</v>
      </c>
      <c r="E52" s="102">
        <v>0.41</v>
      </c>
      <c r="F52" s="97" t="s">
        <v>199</v>
      </c>
      <c r="G52" s="16">
        <v>0.05</v>
      </c>
      <c r="H52" s="97" t="s">
        <v>112</v>
      </c>
      <c r="I52" s="97" t="s">
        <v>113</v>
      </c>
      <c r="J52" s="16" t="s">
        <v>298</v>
      </c>
      <c r="K52" s="98">
        <v>230.0</v>
      </c>
      <c r="L52" s="16">
        <v>1.0</v>
      </c>
      <c r="M52" s="16">
        <v>96.0</v>
      </c>
      <c r="N52" s="16">
        <v>1.05</v>
      </c>
      <c r="O52" s="34">
        <f t="shared" si="30"/>
        <v>94.95</v>
      </c>
      <c r="Q52" s="145">
        <f t="shared" si="31"/>
        <v>94.95</v>
      </c>
      <c r="R52" s="16" t="s">
        <v>288</v>
      </c>
      <c r="S52" s="53">
        <f t="shared" si="32"/>
        <v>0.00412826087</v>
      </c>
      <c r="T52" s="102">
        <v>0.83</v>
      </c>
      <c r="U52" s="102">
        <v>0.8</v>
      </c>
      <c r="W52" s="98"/>
      <c r="X52" s="61"/>
      <c r="Z52" s="8">
        <f t="shared" si="33"/>
        <v>23000</v>
      </c>
      <c r="AA52" s="120"/>
    </row>
    <row r="53">
      <c r="A53" s="15">
        <v>45545.0</v>
      </c>
      <c r="B53" s="97" t="s">
        <v>58</v>
      </c>
      <c r="C53" s="102">
        <v>0.19</v>
      </c>
      <c r="D53" s="102">
        <v>0.52</v>
      </c>
      <c r="E53" s="102">
        <v>0.68</v>
      </c>
      <c r="F53" s="97" t="s">
        <v>199</v>
      </c>
      <c r="G53" s="16">
        <v>0.05</v>
      </c>
      <c r="H53" s="97" t="s">
        <v>116</v>
      </c>
      <c r="I53" s="97" t="s">
        <v>113</v>
      </c>
      <c r="J53" s="16" t="s">
        <v>298</v>
      </c>
      <c r="K53" s="98">
        <v>11.0</v>
      </c>
      <c r="L53" s="16">
        <v>4.0</v>
      </c>
      <c r="M53" s="16">
        <v>116.0</v>
      </c>
      <c r="N53" s="16">
        <v>0.37</v>
      </c>
      <c r="O53" s="34">
        <f t="shared" si="30"/>
        <v>115.63</v>
      </c>
      <c r="Q53" s="145">
        <f t="shared" si="31"/>
        <v>115.63</v>
      </c>
      <c r="R53" s="16" t="s">
        <v>288</v>
      </c>
      <c r="S53" s="53">
        <f t="shared" si="32"/>
        <v>0.02627954545</v>
      </c>
      <c r="T53" s="102">
        <v>0.7</v>
      </c>
      <c r="U53" s="102">
        <v>0.61</v>
      </c>
      <c r="V53" s="16">
        <v>4294.0</v>
      </c>
      <c r="W53" s="98"/>
      <c r="X53" s="16">
        <v>0.02</v>
      </c>
      <c r="Z53" s="8">
        <f t="shared" si="33"/>
        <v>4400</v>
      </c>
    </row>
    <row r="54">
      <c r="A54" s="15"/>
      <c r="B54" s="97"/>
      <c r="C54" s="102"/>
      <c r="D54" s="102"/>
      <c r="E54" s="102"/>
      <c r="F54" s="97"/>
      <c r="H54" s="103"/>
      <c r="I54" s="97"/>
      <c r="K54" s="98"/>
      <c r="O54" s="34"/>
      <c r="Q54" s="70"/>
      <c r="S54" s="102"/>
      <c r="T54" s="102"/>
      <c r="U54" s="102"/>
      <c r="W54" s="98"/>
      <c r="X54" s="61"/>
      <c r="Z54" s="147">
        <f>sum(Z48:Z53)</f>
        <v>65900</v>
      </c>
      <c r="AA54" s="148">
        <f>sum(Q48:Q53)/Z54</f>
        <v>0.01612078907</v>
      </c>
    </row>
    <row r="55">
      <c r="A55" s="15">
        <v>45558.0</v>
      </c>
      <c r="B55" s="97" t="s">
        <v>54</v>
      </c>
      <c r="C55" s="102">
        <v>0.159</v>
      </c>
      <c r="D55" s="102">
        <v>0.267</v>
      </c>
      <c r="E55" s="102">
        <v>0.257</v>
      </c>
      <c r="F55" s="97" t="s">
        <v>199</v>
      </c>
      <c r="G55" s="16">
        <v>0.1</v>
      </c>
      <c r="H55" s="97" t="s">
        <v>112</v>
      </c>
      <c r="I55" s="97" t="s">
        <v>113</v>
      </c>
      <c r="J55" s="16" t="s">
        <v>299</v>
      </c>
      <c r="K55" s="98">
        <v>165.0</v>
      </c>
      <c r="L55" s="16">
        <v>1.0</v>
      </c>
      <c r="M55" s="16">
        <v>304.0</v>
      </c>
      <c r="N55" s="16">
        <v>0.8</v>
      </c>
      <c r="O55" s="34">
        <f t="shared" ref="O55:O60" si="34">M55-N55</f>
        <v>303.2</v>
      </c>
      <c r="Q55" s="145">
        <f t="shared" ref="Q55:Q60" si="35">sum(O55:P55)</f>
        <v>303.2</v>
      </c>
      <c r="R55" s="16" t="s">
        <v>288</v>
      </c>
      <c r="S55" s="53">
        <f t="shared" ref="S55:S60" si="36">O55/(L55*100)/K55</f>
        <v>0.01837575758</v>
      </c>
      <c r="T55" s="102">
        <v>0.69</v>
      </c>
      <c r="U55" s="102">
        <v>0.57</v>
      </c>
      <c r="W55" s="98"/>
      <c r="X55" s="61"/>
      <c r="Z55" s="8">
        <f t="shared" ref="Z55:Z60" si="37">K55*L55*100</f>
        <v>16500</v>
      </c>
    </row>
    <row r="56">
      <c r="A56" s="15">
        <v>45558.0</v>
      </c>
      <c r="B56" s="97" t="s">
        <v>59</v>
      </c>
      <c r="C56" s="102">
        <v>0.159</v>
      </c>
      <c r="D56" s="102">
        <v>0.372</v>
      </c>
      <c r="E56" s="102">
        <v>0.396</v>
      </c>
      <c r="F56" s="97" t="s">
        <v>199</v>
      </c>
      <c r="G56" s="16">
        <v>0.15</v>
      </c>
      <c r="H56" s="97" t="s">
        <v>112</v>
      </c>
      <c r="I56" s="97" t="s">
        <v>113</v>
      </c>
      <c r="J56" s="16" t="s">
        <v>299</v>
      </c>
      <c r="K56" s="98">
        <v>150.0</v>
      </c>
      <c r="L56" s="16">
        <v>1.0</v>
      </c>
      <c r="M56" s="16">
        <v>279.0</v>
      </c>
      <c r="N56" s="16">
        <v>0.26</v>
      </c>
      <c r="O56" s="34">
        <f t="shared" si="34"/>
        <v>278.74</v>
      </c>
      <c r="Q56" s="145">
        <f t="shared" si="35"/>
        <v>278.74</v>
      </c>
      <c r="R56" s="16" t="s">
        <v>288</v>
      </c>
      <c r="S56" s="53">
        <f t="shared" si="36"/>
        <v>0.01858266667</v>
      </c>
      <c r="T56" s="102">
        <v>0.74</v>
      </c>
      <c r="U56" s="102">
        <v>0.68</v>
      </c>
      <c r="W56" s="98"/>
      <c r="X56" s="61"/>
      <c r="Z56" s="8">
        <f t="shared" si="37"/>
        <v>15000</v>
      </c>
    </row>
    <row r="57">
      <c r="A57" s="15">
        <v>45558.0</v>
      </c>
      <c r="B57" s="97" t="s">
        <v>60</v>
      </c>
      <c r="C57" s="102">
        <v>0.159</v>
      </c>
      <c r="D57" s="102">
        <v>0.207</v>
      </c>
      <c r="E57" s="102">
        <v>0.226</v>
      </c>
      <c r="F57" s="97" t="s">
        <v>199</v>
      </c>
      <c r="G57" s="16">
        <v>0.05</v>
      </c>
      <c r="H57" s="97" t="s">
        <v>112</v>
      </c>
      <c r="I57" s="97" t="s">
        <v>113</v>
      </c>
      <c r="J57" s="16" t="s">
        <v>299</v>
      </c>
      <c r="K57" s="98">
        <v>230.0</v>
      </c>
      <c r="L57" s="16">
        <v>1.0</v>
      </c>
      <c r="M57" s="16">
        <v>361.0</v>
      </c>
      <c r="N57" s="16">
        <v>0.87</v>
      </c>
      <c r="O57" s="34">
        <f t="shared" si="34"/>
        <v>360.13</v>
      </c>
      <c r="Q57" s="145">
        <f t="shared" si="35"/>
        <v>360.13</v>
      </c>
      <c r="R57" s="44" t="s">
        <v>255</v>
      </c>
      <c r="S57" s="53">
        <f t="shared" si="36"/>
        <v>0.01565782609</v>
      </c>
      <c r="T57" s="102">
        <v>0.69</v>
      </c>
      <c r="U57" s="102">
        <v>0.59</v>
      </c>
      <c r="W57" s="98"/>
      <c r="X57" s="61"/>
      <c r="Y57" s="16">
        <v>1.0</v>
      </c>
      <c r="Z57" s="8">
        <f t="shared" si="37"/>
        <v>23000</v>
      </c>
    </row>
    <row r="58">
      <c r="A58" s="15">
        <v>45559.0</v>
      </c>
      <c r="B58" s="97" t="s">
        <v>40</v>
      </c>
      <c r="C58" s="102">
        <v>0.1547</v>
      </c>
      <c r="D58" s="102">
        <v>0.31</v>
      </c>
      <c r="E58" s="102">
        <v>0.27</v>
      </c>
      <c r="F58" s="97" t="s">
        <v>199</v>
      </c>
      <c r="G58" s="16">
        <v>0.1</v>
      </c>
      <c r="H58" s="97" t="s">
        <v>112</v>
      </c>
      <c r="I58" s="97" t="s">
        <v>113</v>
      </c>
      <c r="J58" s="16" t="s">
        <v>299</v>
      </c>
      <c r="K58" s="98">
        <v>16.0</v>
      </c>
      <c r="L58" s="16">
        <v>6.0</v>
      </c>
      <c r="M58" s="16">
        <v>174.0</v>
      </c>
      <c r="N58" s="16">
        <v>0.56</v>
      </c>
      <c r="O58" s="34">
        <f t="shared" si="34"/>
        <v>173.44</v>
      </c>
      <c r="Q58" s="145">
        <f t="shared" si="35"/>
        <v>173.44</v>
      </c>
      <c r="R58" s="16" t="s">
        <v>288</v>
      </c>
      <c r="S58" s="53">
        <f t="shared" si="36"/>
        <v>0.01806666667</v>
      </c>
      <c r="T58" s="102">
        <v>0.69</v>
      </c>
      <c r="U58" s="102">
        <v>0.62</v>
      </c>
      <c r="W58" s="98"/>
      <c r="X58" s="61"/>
      <c r="Z58" s="8">
        <f t="shared" si="37"/>
        <v>9600</v>
      </c>
    </row>
    <row r="59">
      <c r="A59" s="15">
        <v>45561.0</v>
      </c>
      <c r="B59" s="97" t="s">
        <v>300</v>
      </c>
      <c r="C59" s="102">
        <v>0.15</v>
      </c>
      <c r="D59" s="102">
        <v>0.38</v>
      </c>
      <c r="E59" s="102">
        <v>0.34</v>
      </c>
      <c r="F59" s="97" t="s">
        <v>199</v>
      </c>
      <c r="G59" s="16">
        <v>0.1</v>
      </c>
      <c r="H59" s="97" t="s">
        <v>116</v>
      </c>
      <c r="I59" s="97" t="s">
        <v>113</v>
      </c>
      <c r="J59" s="16" t="s">
        <v>299</v>
      </c>
      <c r="K59" s="98">
        <v>47.5</v>
      </c>
      <c r="L59" s="16">
        <v>1.0</v>
      </c>
      <c r="M59" s="16">
        <v>161.0</v>
      </c>
      <c r="N59" s="16">
        <v>0.26</v>
      </c>
      <c r="O59" s="34">
        <f t="shared" si="34"/>
        <v>160.74</v>
      </c>
      <c r="Q59" s="145">
        <f t="shared" si="35"/>
        <v>160.74</v>
      </c>
      <c r="R59" s="16" t="s">
        <v>288</v>
      </c>
      <c r="S59" s="53">
        <f t="shared" si="36"/>
        <v>0.03384</v>
      </c>
      <c r="T59" s="102">
        <v>0.67</v>
      </c>
      <c r="U59" s="102">
        <v>0.53</v>
      </c>
      <c r="V59" s="16">
        <v>4576.0</v>
      </c>
      <c r="W59" s="98"/>
      <c r="X59" s="16">
        <v>0.03</v>
      </c>
      <c r="Z59" s="8">
        <f t="shared" si="37"/>
        <v>4750</v>
      </c>
      <c r="AA59" s="120"/>
    </row>
    <row r="60">
      <c r="A60" s="15">
        <v>45567.0</v>
      </c>
      <c r="B60" s="97" t="s">
        <v>63</v>
      </c>
      <c r="C60" s="102">
        <v>0.188</v>
      </c>
      <c r="D60" s="102">
        <v>0.46</v>
      </c>
      <c r="E60" s="102">
        <v>0.52</v>
      </c>
      <c r="F60" s="97" t="s">
        <v>199</v>
      </c>
      <c r="G60" s="16">
        <v>0.02</v>
      </c>
      <c r="H60" s="97" t="s">
        <v>116</v>
      </c>
      <c r="I60" s="97" t="s">
        <v>113</v>
      </c>
      <c r="J60" s="16" t="s">
        <v>299</v>
      </c>
      <c r="K60" s="98">
        <v>113.0</v>
      </c>
      <c r="L60" s="16">
        <v>1.0</v>
      </c>
      <c r="M60" s="16">
        <v>223.0</v>
      </c>
      <c r="N60" s="16">
        <v>1.05</v>
      </c>
      <c r="O60" s="34">
        <f t="shared" si="34"/>
        <v>221.95</v>
      </c>
      <c r="Q60" s="145">
        <f t="shared" si="35"/>
        <v>221.95</v>
      </c>
      <c r="R60" s="16" t="s">
        <v>288</v>
      </c>
      <c r="S60" s="53">
        <f t="shared" si="36"/>
        <v>0.01964159292</v>
      </c>
      <c r="T60" s="102">
        <v>0.77</v>
      </c>
      <c r="U60" s="102">
        <v>0.71</v>
      </c>
      <c r="V60" s="16">
        <v>11052.0</v>
      </c>
      <c r="W60" s="98"/>
      <c r="X60" s="16">
        <v>0.02</v>
      </c>
      <c r="Z60" s="8">
        <f t="shared" si="37"/>
        <v>11300</v>
      </c>
    </row>
    <row r="61">
      <c r="A61" s="15"/>
      <c r="B61" s="97"/>
      <c r="C61" s="102"/>
      <c r="D61" s="102"/>
      <c r="E61" s="102"/>
      <c r="F61" s="97"/>
      <c r="H61" s="103"/>
      <c r="I61" s="97"/>
      <c r="K61" s="98"/>
      <c r="O61" s="34"/>
      <c r="Q61" s="70"/>
      <c r="S61" s="53"/>
      <c r="T61" s="102"/>
      <c r="U61" s="102"/>
      <c r="W61" s="98"/>
      <c r="X61" s="61"/>
      <c r="Z61" s="147">
        <f>sum(Z55:Z60)</f>
        <v>80150</v>
      </c>
      <c r="AA61" s="148">
        <f>sum(Q55:Q60)/Z61</f>
        <v>0.01869245165</v>
      </c>
    </row>
    <row r="62">
      <c r="A62" s="15">
        <v>45593.0</v>
      </c>
      <c r="B62" s="97" t="s">
        <v>60</v>
      </c>
      <c r="C62" s="102">
        <v>0.1953</v>
      </c>
      <c r="D62" s="102">
        <v>0.26</v>
      </c>
      <c r="E62" s="102">
        <v>0.23</v>
      </c>
      <c r="F62" s="97" t="s">
        <v>235</v>
      </c>
      <c r="G62" s="16">
        <v>0.03</v>
      </c>
      <c r="H62" s="97" t="s">
        <v>116</v>
      </c>
      <c r="I62" s="97" t="s">
        <v>113</v>
      </c>
      <c r="J62" s="16" t="s">
        <v>301</v>
      </c>
      <c r="K62" s="98">
        <v>220.0</v>
      </c>
      <c r="L62" s="16">
        <v>1.0</v>
      </c>
      <c r="M62" s="16">
        <v>182.0</v>
      </c>
      <c r="N62" s="16">
        <v>0.64</v>
      </c>
      <c r="O62" s="34">
        <f t="shared" ref="O62:O68" si="38">M62-N62</f>
        <v>181.36</v>
      </c>
      <c r="Q62" s="145">
        <f t="shared" ref="Q62:Q68" si="39">sum(O62:P62)</f>
        <v>181.36</v>
      </c>
      <c r="R62" s="16" t="s">
        <v>288</v>
      </c>
      <c r="S62" s="53">
        <f t="shared" ref="S62:S68" si="40">O62/(L62*100)/K62</f>
        <v>0.008243636364</v>
      </c>
      <c r="T62" s="102">
        <v>0.85</v>
      </c>
      <c r="U62" s="102"/>
      <c r="V62" s="16">
        <v>21770.0</v>
      </c>
      <c r="W62" s="98"/>
      <c r="X62" s="16">
        <v>0.01</v>
      </c>
      <c r="Z62" s="8">
        <f t="shared" ref="Z62:Z64" si="41">K62*L62*100</f>
        <v>22000</v>
      </c>
    </row>
    <row r="63">
      <c r="A63" s="15">
        <v>45593.0</v>
      </c>
      <c r="B63" s="97" t="s">
        <v>54</v>
      </c>
      <c r="C63" s="102">
        <v>0.1953</v>
      </c>
      <c r="D63" s="102">
        <v>0.37</v>
      </c>
      <c r="E63" s="102">
        <v>0.23</v>
      </c>
      <c r="F63" s="97" t="s">
        <v>235</v>
      </c>
      <c r="G63" s="16">
        <v>0.05</v>
      </c>
      <c r="H63" s="97" t="s">
        <v>112</v>
      </c>
      <c r="I63" s="97" t="s">
        <v>113</v>
      </c>
      <c r="J63" s="16" t="s">
        <v>301</v>
      </c>
      <c r="K63" s="98">
        <v>175.0</v>
      </c>
      <c r="L63" s="16">
        <v>1.0</v>
      </c>
      <c r="M63" s="16">
        <v>325.0</v>
      </c>
      <c r="N63" s="16">
        <v>1.05</v>
      </c>
      <c r="O63" s="34">
        <f t="shared" si="38"/>
        <v>323.95</v>
      </c>
      <c r="Q63" s="145">
        <f t="shared" si="39"/>
        <v>323.95</v>
      </c>
      <c r="R63" s="16" t="s">
        <v>288</v>
      </c>
      <c r="S63" s="53">
        <f t="shared" si="40"/>
        <v>0.01851142857</v>
      </c>
      <c r="T63" s="102">
        <v>0.74</v>
      </c>
      <c r="U63" s="102"/>
      <c r="W63" s="98"/>
      <c r="X63" s="61"/>
      <c r="Z63" s="8">
        <f t="shared" si="41"/>
        <v>17500</v>
      </c>
    </row>
    <row r="64">
      <c r="A64" s="15">
        <v>45593.0</v>
      </c>
      <c r="B64" s="97" t="s">
        <v>58</v>
      </c>
      <c r="C64" s="102">
        <v>0.1953</v>
      </c>
      <c r="D64" s="102">
        <v>0.53</v>
      </c>
      <c r="E64" s="102">
        <v>0.38</v>
      </c>
      <c r="F64" s="97" t="s">
        <v>199</v>
      </c>
      <c r="G64" s="16">
        <v>0.05</v>
      </c>
      <c r="H64" s="97" t="s">
        <v>112</v>
      </c>
      <c r="I64" s="97" t="s">
        <v>113</v>
      </c>
      <c r="J64" s="16" t="s">
        <v>301</v>
      </c>
      <c r="K64" s="98">
        <v>12.5</v>
      </c>
      <c r="L64" s="16">
        <v>4.0</v>
      </c>
      <c r="M64" s="16">
        <v>148.0</v>
      </c>
      <c r="N64" s="16">
        <v>2.83</v>
      </c>
      <c r="O64" s="34">
        <f t="shared" si="38"/>
        <v>145.17</v>
      </c>
      <c r="Q64" s="145">
        <f t="shared" si="39"/>
        <v>145.17</v>
      </c>
      <c r="R64" s="44" t="s">
        <v>72</v>
      </c>
      <c r="S64" s="53">
        <f t="shared" si="40"/>
        <v>0.029034</v>
      </c>
      <c r="T64" s="102">
        <v>0.7</v>
      </c>
      <c r="U64" s="102"/>
      <c r="W64" s="98"/>
      <c r="X64" s="61"/>
      <c r="Y64" s="16">
        <v>1.0</v>
      </c>
      <c r="Z64" s="8">
        <f t="shared" si="41"/>
        <v>5000</v>
      </c>
    </row>
    <row r="65">
      <c r="A65" s="15">
        <v>45593.0</v>
      </c>
      <c r="B65" s="97" t="s">
        <v>59</v>
      </c>
      <c r="C65" s="102">
        <v>0.1953</v>
      </c>
      <c r="D65" s="102">
        <v>0.55</v>
      </c>
      <c r="E65" s="102">
        <v>0.38</v>
      </c>
      <c r="F65" s="97" t="s">
        <v>235</v>
      </c>
      <c r="G65" s="16">
        <v>0.2</v>
      </c>
      <c r="H65" s="97" t="s">
        <v>112</v>
      </c>
      <c r="I65" s="97" t="s">
        <v>113</v>
      </c>
      <c r="J65" s="16" t="s">
        <v>301</v>
      </c>
      <c r="K65" s="98">
        <v>150.0</v>
      </c>
      <c r="L65" s="16">
        <v>1.0</v>
      </c>
      <c r="M65" s="16">
        <v>410.0</v>
      </c>
      <c r="N65" s="16">
        <v>0.07</v>
      </c>
      <c r="O65" s="34">
        <f t="shared" si="38"/>
        <v>409.93</v>
      </c>
      <c r="P65" s="16">
        <v>-5.0</v>
      </c>
      <c r="Q65" s="145">
        <f t="shared" si="39"/>
        <v>404.93</v>
      </c>
      <c r="R65" s="16" t="s">
        <v>296</v>
      </c>
      <c r="S65" s="53">
        <f t="shared" si="40"/>
        <v>0.02732866667</v>
      </c>
      <c r="T65" s="102">
        <v>0.76</v>
      </c>
      <c r="U65" s="102"/>
      <c r="W65" s="98"/>
      <c r="X65" s="61"/>
    </row>
    <row r="66">
      <c r="A66" s="15">
        <v>45593.0</v>
      </c>
      <c r="B66" s="97" t="s">
        <v>300</v>
      </c>
      <c r="C66" s="102">
        <v>0.1953</v>
      </c>
      <c r="D66" s="102">
        <v>0.408</v>
      </c>
      <c r="E66" s="102">
        <v>0.402</v>
      </c>
      <c r="F66" s="97" t="s">
        <v>199</v>
      </c>
      <c r="G66" s="16">
        <v>0.05</v>
      </c>
      <c r="H66" s="97" t="s">
        <v>116</v>
      </c>
      <c r="I66" s="97" t="s">
        <v>113</v>
      </c>
      <c r="J66" s="16" t="s">
        <v>301</v>
      </c>
      <c r="K66" s="98">
        <v>50.0</v>
      </c>
      <c r="L66" s="16">
        <v>1.0</v>
      </c>
      <c r="M66" s="16">
        <v>160.0</v>
      </c>
      <c r="N66" s="16">
        <v>0.06</v>
      </c>
      <c r="O66" s="34">
        <f t="shared" si="38"/>
        <v>159.94</v>
      </c>
      <c r="Q66" s="145">
        <f t="shared" si="39"/>
        <v>159.94</v>
      </c>
      <c r="R66" s="16" t="s">
        <v>288</v>
      </c>
      <c r="S66" s="53">
        <f t="shared" si="40"/>
        <v>0.031988</v>
      </c>
      <c r="T66" s="102">
        <v>0.68</v>
      </c>
      <c r="U66" s="102"/>
      <c r="V66" s="16">
        <v>4828.0</v>
      </c>
      <c r="W66" s="98"/>
      <c r="X66" s="16">
        <v>0.03</v>
      </c>
      <c r="Z66" s="8">
        <f t="shared" ref="Z66:Z68" si="42">K66*L66*100</f>
        <v>5000</v>
      </c>
    </row>
    <row r="67">
      <c r="A67" s="15">
        <v>45593.0</v>
      </c>
      <c r="B67" s="97" t="s">
        <v>231</v>
      </c>
      <c r="C67" s="102">
        <v>0.1953</v>
      </c>
      <c r="D67" s="102">
        <v>0.299</v>
      </c>
      <c r="E67" s="102">
        <v>0.248</v>
      </c>
      <c r="F67" s="97" t="s">
        <v>199</v>
      </c>
      <c r="G67" s="16">
        <v>0.02</v>
      </c>
      <c r="H67" s="97" t="s">
        <v>116</v>
      </c>
      <c r="I67" s="97" t="s">
        <v>113</v>
      </c>
      <c r="J67" s="16" t="s">
        <v>301</v>
      </c>
      <c r="K67" s="98">
        <v>62.0</v>
      </c>
      <c r="L67" s="16">
        <v>1.0</v>
      </c>
      <c r="M67" s="16">
        <v>124.0</v>
      </c>
      <c r="N67" s="16">
        <v>1.05</v>
      </c>
      <c r="O67" s="34">
        <f t="shared" si="38"/>
        <v>122.95</v>
      </c>
      <c r="Q67" s="145">
        <f t="shared" si="39"/>
        <v>122.95</v>
      </c>
      <c r="R67" s="16" t="s">
        <v>288</v>
      </c>
      <c r="S67" s="53">
        <f t="shared" si="40"/>
        <v>0.01983064516</v>
      </c>
      <c r="T67" s="102">
        <v>0.73</v>
      </c>
      <c r="U67" s="102"/>
      <c r="V67" s="16">
        <v>6061.0</v>
      </c>
      <c r="W67" s="98"/>
      <c r="X67" s="16">
        <v>0.02</v>
      </c>
      <c r="Z67" s="8">
        <f t="shared" si="42"/>
        <v>6200</v>
      </c>
      <c r="AA67" s="120"/>
    </row>
    <row r="68">
      <c r="A68" s="20">
        <v>45594.0</v>
      </c>
      <c r="B68" s="16" t="s">
        <v>59</v>
      </c>
      <c r="C68" s="102">
        <v>0.1939</v>
      </c>
      <c r="D68" s="102">
        <v>0.48</v>
      </c>
      <c r="E68" s="102">
        <v>0.84</v>
      </c>
      <c r="F68" s="97" t="s">
        <v>199</v>
      </c>
      <c r="G68" s="16">
        <v>0.15</v>
      </c>
      <c r="H68" s="97" t="s">
        <v>116</v>
      </c>
      <c r="I68" s="97" t="s">
        <v>113</v>
      </c>
      <c r="J68" s="16" t="s">
        <v>301</v>
      </c>
      <c r="K68" s="16">
        <v>105.0</v>
      </c>
      <c r="L68" s="16">
        <v>1.0</v>
      </c>
      <c r="M68" s="16">
        <v>165.0</v>
      </c>
      <c r="N68" s="16">
        <v>1.06</v>
      </c>
      <c r="O68" s="34">
        <f t="shared" si="38"/>
        <v>163.94</v>
      </c>
      <c r="Q68" s="145">
        <f t="shared" si="39"/>
        <v>163.94</v>
      </c>
      <c r="R68" s="44" t="s">
        <v>66</v>
      </c>
      <c r="S68" s="53">
        <f t="shared" si="40"/>
        <v>0.01561333333</v>
      </c>
      <c r="T68" s="102">
        <v>0.8</v>
      </c>
      <c r="V68" s="16">
        <v>10322.0</v>
      </c>
      <c r="X68" s="16">
        <v>0.02</v>
      </c>
      <c r="Y68" s="16">
        <v>1.0</v>
      </c>
      <c r="Z68" s="8">
        <f t="shared" si="42"/>
        <v>10500</v>
      </c>
    </row>
    <row r="69">
      <c r="A69" s="20"/>
      <c r="B69" s="16"/>
      <c r="C69" s="107"/>
      <c r="D69" s="102"/>
      <c r="E69" s="102"/>
      <c r="F69" s="97"/>
      <c r="G69" s="16"/>
      <c r="H69" s="97"/>
      <c r="I69" s="97"/>
      <c r="J69" s="16"/>
      <c r="K69" s="16"/>
      <c r="L69" s="16"/>
      <c r="M69" s="16"/>
      <c r="N69" s="16"/>
      <c r="O69" s="34"/>
      <c r="S69" s="53"/>
      <c r="T69" s="102"/>
      <c r="V69" s="16"/>
      <c r="X69" s="16"/>
      <c r="Z69" s="147">
        <f>sum(Z62:Z68)</f>
        <v>66200</v>
      </c>
      <c r="AA69" s="148">
        <f>sum(Q62:Q68)/Z69</f>
        <v>0.02269244713</v>
      </c>
    </row>
    <row r="70">
      <c r="A70" s="20">
        <v>45614.0</v>
      </c>
      <c r="B70" s="16" t="s">
        <v>60</v>
      </c>
      <c r="C70" s="102">
        <v>0.154</v>
      </c>
      <c r="D70" s="102">
        <v>0.192</v>
      </c>
      <c r="E70" s="102">
        <v>0.204</v>
      </c>
      <c r="F70" s="97" t="s">
        <v>199</v>
      </c>
      <c r="G70" s="16">
        <v>0.02</v>
      </c>
      <c r="H70" s="97" t="s">
        <v>116</v>
      </c>
      <c r="I70" s="97" t="s">
        <v>113</v>
      </c>
      <c r="J70" s="16" t="s">
        <v>302</v>
      </c>
      <c r="K70" s="16">
        <v>220.0</v>
      </c>
      <c r="L70" s="16">
        <v>1.0</v>
      </c>
      <c r="M70" s="16">
        <v>191.0</v>
      </c>
      <c r="N70" s="16">
        <v>1.06</v>
      </c>
      <c r="O70" s="34">
        <f t="shared" ref="O70:O74" si="43">M70-N70</f>
        <v>189.94</v>
      </c>
      <c r="Q70" s="145">
        <f t="shared" ref="Q70:Q74" si="44">sum(O70:P70)</f>
        <v>189.94</v>
      </c>
      <c r="R70" s="16" t="s">
        <v>288</v>
      </c>
      <c r="S70" s="53">
        <f t="shared" ref="S70:S74" si="45">O70/(L70*100)/K70</f>
        <v>0.008633636364</v>
      </c>
      <c r="T70" s="102">
        <v>0.83</v>
      </c>
      <c r="U70" s="102">
        <v>0.79</v>
      </c>
      <c r="V70" s="16">
        <v>21746.0</v>
      </c>
      <c r="X70" s="16">
        <v>0.01</v>
      </c>
      <c r="Z70" s="8">
        <f t="shared" ref="Z70:Z74" si="46">K70*L70*100</f>
        <v>22000</v>
      </c>
    </row>
    <row r="71">
      <c r="A71" s="20">
        <v>45614.0</v>
      </c>
      <c r="B71" s="16" t="s">
        <v>54</v>
      </c>
      <c r="C71" s="102">
        <v>0.154</v>
      </c>
      <c r="D71" s="102">
        <v>0.228</v>
      </c>
      <c r="E71" s="102">
        <v>0.293</v>
      </c>
      <c r="F71" s="97" t="s">
        <v>199</v>
      </c>
      <c r="G71" s="16">
        <v>0.04</v>
      </c>
      <c r="H71" s="97" t="s">
        <v>112</v>
      </c>
      <c r="I71" s="97" t="s">
        <v>113</v>
      </c>
      <c r="J71" s="16" t="s">
        <v>302</v>
      </c>
      <c r="K71" s="16">
        <v>187.5</v>
      </c>
      <c r="L71" s="16">
        <v>1.0</v>
      </c>
      <c r="M71" s="16">
        <v>116.0</v>
      </c>
      <c r="N71" s="16">
        <v>1.06</v>
      </c>
      <c r="O71" s="34">
        <f t="shared" si="43"/>
        <v>114.94</v>
      </c>
      <c r="Q71" s="145">
        <f t="shared" si="44"/>
        <v>114.94</v>
      </c>
      <c r="R71" s="44" t="s">
        <v>72</v>
      </c>
      <c r="S71" s="53">
        <f t="shared" si="45"/>
        <v>0.006130133333</v>
      </c>
      <c r="Y71" s="16">
        <v>1.0</v>
      </c>
      <c r="Z71" s="8">
        <f t="shared" si="46"/>
        <v>18750</v>
      </c>
    </row>
    <row r="72">
      <c r="A72" s="20">
        <v>45615.0</v>
      </c>
      <c r="B72" s="16" t="s">
        <v>231</v>
      </c>
      <c r="C72" s="102">
        <v>0.167</v>
      </c>
      <c r="D72" s="102">
        <v>0.24</v>
      </c>
      <c r="E72" s="102">
        <v>0.32</v>
      </c>
      <c r="F72" s="97" t="s">
        <v>199</v>
      </c>
      <c r="H72" s="97" t="s">
        <v>116</v>
      </c>
      <c r="I72" s="97" t="s">
        <v>113</v>
      </c>
      <c r="J72" s="16" t="s">
        <v>302</v>
      </c>
      <c r="K72" s="16">
        <v>67.0</v>
      </c>
      <c r="L72" s="16">
        <v>1.0</v>
      </c>
      <c r="M72" s="16">
        <v>112.0</v>
      </c>
      <c r="N72" s="16">
        <v>1.06</v>
      </c>
      <c r="O72" s="34">
        <f t="shared" si="43"/>
        <v>110.94</v>
      </c>
      <c r="Q72" s="145">
        <f t="shared" si="44"/>
        <v>110.94</v>
      </c>
      <c r="R72" s="16" t="s">
        <v>288</v>
      </c>
      <c r="S72" s="53">
        <f t="shared" si="45"/>
        <v>0.01655820896</v>
      </c>
      <c r="T72" s="102">
        <v>0.77</v>
      </c>
      <c r="U72" s="102">
        <v>0.71</v>
      </c>
      <c r="V72" s="16">
        <v>6587.0</v>
      </c>
      <c r="X72" s="16">
        <v>0.01</v>
      </c>
      <c r="Z72" s="8">
        <f t="shared" si="46"/>
        <v>6700</v>
      </c>
    </row>
    <row r="73">
      <c r="A73" s="20">
        <v>45617.0</v>
      </c>
      <c r="B73" s="16" t="s">
        <v>59</v>
      </c>
      <c r="C73" s="102">
        <v>0.167</v>
      </c>
      <c r="D73" s="102">
        <v>0.38</v>
      </c>
      <c r="E73" s="102">
        <v>0.67</v>
      </c>
      <c r="F73" s="97" t="s">
        <v>199</v>
      </c>
      <c r="G73" s="16">
        <v>0.1</v>
      </c>
      <c r="H73" s="97" t="s">
        <v>112</v>
      </c>
      <c r="I73" s="97" t="s">
        <v>113</v>
      </c>
      <c r="J73" s="16" t="s">
        <v>302</v>
      </c>
      <c r="K73" s="16">
        <v>105.0</v>
      </c>
      <c r="L73" s="16">
        <v>1.0</v>
      </c>
      <c r="M73" s="16">
        <v>326.0</v>
      </c>
      <c r="N73" s="16">
        <v>0.26</v>
      </c>
      <c r="O73" s="34">
        <f t="shared" si="43"/>
        <v>325.74</v>
      </c>
      <c r="Q73" s="145">
        <f t="shared" si="44"/>
        <v>325.74</v>
      </c>
      <c r="R73" s="44" t="s">
        <v>72</v>
      </c>
      <c r="S73" s="53">
        <f t="shared" si="45"/>
        <v>0.03102285714</v>
      </c>
      <c r="T73" s="102">
        <v>0.69</v>
      </c>
      <c r="U73" s="102">
        <v>0.59</v>
      </c>
      <c r="Y73" s="16">
        <v>1.0</v>
      </c>
      <c r="Z73" s="8">
        <f t="shared" si="46"/>
        <v>10500</v>
      </c>
    </row>
    <row r="74">
      <c r="A74" s="20">
        <v>45614.0</v>
      </c>
      <c r="B74" s="16" t="s">
        <v>58</v>
      </c>
      <c r="C74" s="102">
        <v>0.14</v>
      </c>
      <c r="D74" s="102">
        <v>1.02</v>
      </c>
      <c r="E74" s="102">
        <v>0.43</v>
      </c>
      <c r="F74" s="97" t="s">
        <v>235</v>
      </c>
      <c r="G74" s="16">
        <v>0.05</v>
      </c>
      <c r="H74" s="97" t="s">
        <v>112</v>
      </c>
      <c r="I74" s="97" t="s">
        <v>113</v>
      </c>
      <c r="J74" s="16" t="s">
        <v>302</v>
      </c>
      <c r="K74" s="16">
        <v>16.0</v>
      </c>
      <c r="L74" s="16">
        <v>4.0</v>
      </c>
      <c r="M74" s="16">
        <v>416.0</v>
      </c>
      <c r="N74" s="16">
        <v>1.4</v>
      </c>
      <c r="O74" s="34">
        <f t="shared" si="43"/>
        <v>414.6</v>
      </c>
      <c r="Q74" s="145">
        <f t="shared" si="44"/>
        <v>414.6</v>
      </c>
      <c r="R74" s="44" t="s">
        <v>72</v>
      </c>
      <c r="S74" s="53">
        <f t="shared" si="45"/>
        <v>0.06478125</v>
      </c>
      <c r="T74" s="102">
        <v>0.69</v>
      </c>
      <c r="U74" s="102">
        <v>0.59</v>
      </c>
      <c r="Y74" s="16">
        <v>1.0</v>
      </c>
      <c r="Z74" s="8">
        <f t="shared" si="46"/>
        <v>6400</v>
      </c>
    </row>
    <row r="75">
      <c r="H75" s="103"/>
      <c r="Z75" s="147">
        <f>sum(Z70:Z74)</f>
        <v>64350</v>
      </c>
      <c r="AA75" s="148">
        <f>sum(Q70:Q74)/Z75</f>
        <v>0.01796674437</v>
      </c>
    </row>
    <row r="76">
      <c r="A76" s="15">
        <v>45460.0</v>
      </c>
      <c r="B76" s="97" t="s">
        <v>5</v>
      </c>
      <c r="C76" s="102">
        <v>0.13</v>
      </c>
      <c r="D76" s="102">
        <v>0.13</v>
      </c>
      <c r="E76" s="102">
        <v>0.11</v>
      </c>
      <c r="F76" s="97" t="s">
        <v>199</v>
      </c>
      <c r="G76" s="16">
        <v>0.35</v>
      </c>
      <c r="H76" s="97" t="s">
        <v>116</v>
      </c>
      <c r="I76" s="97" t="s">
        <v>135</v>
      </c>
      <c r="J76" s="16" t="s">
        <v>303</v>
      </c>
      <c r="K76" s="98">
        <v>220.0</v>
      </c>
      <c r="L76" s="16">
        <v>2.0</v>
      </c>
      <c r="M76" s="16">
        <v>-334.0</v>
      </c>
      <c r="N76" s="16">
        <v>1.39</v>
      </c>
      <c r="O76" s="34">
        <f t="shared" ref="O76:O78" si="47">M76-N76</f>
        <v>-335.39</v>
      </c>
      <c r="Q76" s="70"/>
      <c r="R76" s="16" t="s">
        <v>304</v>
      </c>
      <c r="S76" s="102"/>
      <c r="T76" s="102"/>
      <c r="U76" s="102"/>
      <c r="W76" s="98"/>
      <c r="X76" s="61"/>
    </row>
    <row r="77">
      <c r="A77" s="15">
        <v>45376.0</v>
      </c>
      <c r="B77" s="97" t="s">
        <v>5</v>
      </c>
      <c r="C77" s="102">
        <v>0.13</v>
      </c>
      <c r="D77" s="102">
        <v>0.136</v>
      </c>
      <c r="E77" s="102">
        <v>0.11</v>
      </c>
      <c r="F77" s="97" t="s">
        <v>199</v>
      </c>
      <c r="G77" s="16">
        <v>0.6</v>
      </c>
      <c r="H77" s="97" t="s">
        <v>116</v>
      </c>
      <c r="I77" s="97" t="s">
        <v>135</v>
      </c>
      <c r="J77" s="16" t="s">
        <v>303</v>
      </c>
      <c r="K77" s="98">
        <v>185.0</v>
      </c>
      <c r="L77" s="16">
        <v>2.0</v>
      </c>
      <c r="M77" s="16">
        <v>-342.0</v>
      </c>
      <c r="N77" s="16">
        <v>0.71</v>
      </c>
      <c r="O77" s="34">
        <f t="shared" si="47"/>
        <v>-342.71</v>
      </c>
      <c r="Q77" s="70"/>
      <c r="R77" s="16" t="s">
        <v>305</v>
      </c>
    </row>
    <row r="78">
      <c r="A78" s="15">
        <v>45485.0</v>
      </c>
      <c r="B78" s="97" t="s">
        <v>40</v>
      </c>
      <c r="C78" s="102"/>
      <c r="D78" s="102"/>
      <c r="E78" s="102"/>
      <c r="F78" s="97"/>
      <c r="H78" s="97" t="s">
        <v>116</v>
      </c>
      <c r="I78" s="97" t="s">
        <v>135</v>
      </c>
      <c r="J78" s="16" t="s">
        <v>298</v>
      </c>
      <c r="K78" s="98">
        <v>12.0</v>
      </c>
      <c r="L78" s="16">
        <v>5.0</v>
      </c>
      <c r="M78" s="16">
        <v>-720.0</v>
      </c>
      <c r="N78" s="16">
        <v>1.77</v>
      </c>
      <c r="O78" s="34">
        <f t="shared" si="47"/>
        <v>-721.77</v>
      </c>
      <c r="Q78" s="149">
        <f>sum(O78:P78)</f>
        <v>-721.77</v>
      </c>
      <c r="R78" s="16" t="s">
        <v>280</v>
      </c>
      <c r="S78" s="102"/>
      <c r="T78" s="102"/>
      <c r="U78" s="102"/>
      <c r="W78" s="98"/>
      <c r="X78" s="61"/>
    </row>
    <row r="79">
      <c r="A79" s="15"/>
      <c r="B79" s="97"/>
      <c r="C79" s="102"/>
      <c r="D79" s="102"/>
      <c r="E79" s="102"/>
      <c r="F79" s="97"/>
      <c r="I79" s="97"/>
      <c r="K79" s="98"/>
      <c r="O79" s="34"/>
      <c r="Q79" s="72"/>
      <c r="S79" s="102"/>
      <c r="T79" s="102"/>
      <c r="U79" s="102"/>
      <c r="W79" s="98"/>
      <c r="X79" s="61"/>
      <c r="Y79" s="8">
        <f>count(Q3:Q74)</f>
        <v>62</v>
      </c>
      <c r="AA79" s="150">
        <f>sum(AA3:AA75)</f>
        <v>0.2107214984</v>
      </c>
    </row>
    <row r="80">
      <c r="A80" s="133"/>
      <c r="B80" s="103"/>
      <c r="C80" s="61"/>
      <c r="D80" s="61"/>
      <c r="E80" s="61"/>
      <c r="K80" s="108"/>
      <c r="Q80" s="70"/>
      <c r="Y80" s="150">
        <f>sum(Y3:Y78)/Y79</f>
        <v>0.3225806452</v>
      </c>
    </row>
    <row r="81">
      <c r="A81" s="15"/>
      <c r="B81" s="97"/>
      <c r="C81" s="61"/>
      <c r="D81" s="61"/>
      <c r="E81" s="61"/>
      <c r="F81" s="103"/>
      <c r="I81" s="97"/>
      <c r="K81" s="98"/>
      <c r="O81" s="34"/>
      <c r="P81" s="22"/>
      <c r="Q81" s="151"/>
    </row>
    <row r="82">
      <c r="A82" s="133"/>
      <c r="B82" s="97"/>
      <c r="C82" s="102"/>
      <c r="D82" s="102"/>
      <c r="E82" s="102"/>
      <c r="F82" s="97"/>
      <c r="I82" s="97"/>
      <c r="K82" s="98"/>
      <c r="O82" s="34"/>
      <c r="Q82" s="72"/>
      <c r="S82" s="102"/>
      <c r="T82" s="102"/>
      <c r="U82" s="102"/>
      <c r="W82" s="98"/>
      <c r="X82" s="61"/>
    </row>
    <row r="83">
      <c r="A83" s="133"/>
      <c r="B83" s="97"/>
      <c r="C83" s="102"/>
      <c r="D83" s="102"/>
      <c r="E83" s="102"/>
      <c r="F83" s="97"/>
      <c r="I83" s="97"/>
      <c r="K83" s="98"/>
      <c r="O83" s="34"/>
      <c r="Q83" s="72"/>
      <c r="S83" s="102"/>
      <c r="T83" s="102"/>
      <c r="U83" s="102"/>
      <c r="W83" s="98"/>
      <c r="X83" s="61"/>
    </row>
    <row r="84">
      <c r="A84" s="15"/>
      <c r="B84" s="97"/>
      <c r="C84" s="102"/>
      <c r="D84" s="102"/>
      <c r="E84" s="102"/>
      <c r="F84" s="97"/>
      <c r="I84" s="97"/>
      <c r="K84" s="98"/>
      <c r="O84" s="34"/>
      <c r="Q84" s="72"/>
      <c r="S84" s="102"/>
      <c r="T84" s="102"/>
      <c r="U84" s="102"/>
      <c r="W84" s="102"/>
      <c r="X84" s="61"/>
    </row>
    <row r="85">
      <c r="A85" s="15"/>
      <c r="B85" s="97"/>
      <c r="C85" s="102"/>
      <c r="D85" s="102"/>
      <c r="E85" s="102"/>
      <c r="F85" s="97"/>
      <c r="I85" s="97"/>
      <c r="K85" s="98"/>
      <c r="O85" s="34"/>
      <c r="Q85" s="72"/>
      <c r="R85" s="44"/>
      <c r="S85" s="102"/>
      <c r="T85" s="102"/>
      <c r="U85" s="102"/>
      <c r="W85" s="102"/>
      <c r="X85" s="61"/>
    </row>
    <row r="86">
      <c r="A86" s="133"/>
      <c r="B86" s="97"/>
      <c r="C86" s="102"/>
      <c r="D86" s="102"/>
      <c r="E86" s="102"/>
      <c r="F86" s="97"/>
      <c r="I86" s="97"/>
      <c r="K86" s="98"/>
      <c r="O86" s="34"/>
      <c r="Q86" s="34"/>
      <c r="S86" s="102"/>
      <c r="T86" s="102"/>
      <c r="U86" s="102"/>
      <c r="W86" s="107"/>
      <c r="X86" s="61"/>
    </row>
    <row r="87">
      <c r="A87" s="133"/>
      <c r="B87" s="97"/>
      <c r="C87" s="102"/>
      <c r="D87" s="102"/>
      <c r="E87" s="102"/>
      <c r="K87" s="98"/>
      <c r="O87" s="34"/>
    </row>
    <row r="88">
      <c r="A88" s="133"/>
      <c r="B88" s="97"/>
      <c r="C88" s="102"/>
      <c r="D88" s="102"/>
      <c r="E88" s="102"/>
      <c r="F88" s="97"/>
      <c r="I88" s="97"/>
      <c r="K88" s="98"/>
      <c r="O88" s="34"/>
      <c r="Q88" s="152"/>
      <c r="S88" s="102"/>
      <c r="T88" s="102"/>
      <c r="U88" s="102"/>
      <c r="W88" s="102"/>
      <c r="X88" s="61"/>
    </row>
    <row r="89">
      <c r="A89" s="133"/>
      <c r="B89" s="97"/>
      <c r="C89" s="102"/>
      <c r="D89" s="102"/>
      <c r="E89" s="102"/>
      <c r="F89" s="97"/>
      <c r="I89" s="97"/>
      <c r="K89" s="98"/>
      <c r="O89" s="34"/>
      <c r="Q89" s="34"/>
      <c r="S89" s="102"/>
      <c r="T89" s="102"/>
      <c r="U89" s="102"/>
      <c r="W89" s="102"/>
      <c r="X89" s="61"/>
    </row>
    <row r="90">
      <c r="A90" s="133"/>
      <c r="B90" s="97"/>
      <c r="C90" s="102"/>
      <c r="D90" s="102"/>
      <c r="E90" s="102"/>
      <c r="F90" s="97"/>
      <c r="I90" s="97"/>
      <c r="K90" s="98"/>
      <c r="O90" s="34"/>
      <c r="Q90" s="34"/>
      <c r="S90" s="102"/>
      <c r="T90" s="102"/>
      <c r="U90" s="102"/>
      <c r="W90" s="98"/>
      <c r="X90" s="61"/>
    </row>
    <row r="91">
      <c r="A91" s="133"/>
      <c r="B91" s="97"/>
      <c r="C91" s="102"/>
      <c r="D91" s="102"/>
      <c r="E91" s="102"/>
      <c r="F91" s="97"/>
      <c r="I91" s="97"/>
      <c r="K91" s="98"/>
      <c r="O91" s="34"/>
      <c r="Q91" s="34"/>
      <c r="S91" s="102"/>
      <c r="T91" s="102"/>
      <c r="U91" s="102"/>
    </row>
    <row r="92">
      <c r="A92" s="133"/>
      <c r="B92" s="97"/>
      <c r="C92" s="102"/>
      <c r="D92" s="102"/>
      <c r="E92" s="102"/>
      <c r="F92" s="97"/>
      <c r="I92" s="97"/>
      <c r="K92" s="98"/>
      <c r="O92" s="34"/>
      <c r="Q92" s="34"/>
      <c r="S92" s="102"/>
      <c r="T92" s="102"/>
      <c r="U92" s="102"/>
    </row>
    <row r="93">
      <c r="A93" s="133"/>
      <c r="B93" s="103"/>
      <c r="C93" s="61"/>
      <c r="D93" s="61"/>
      <c r="E93" s="61"/>
      <c r="K93" s="108"/>
    </row>
    <row r="94">
      <c r="A94" s="15"/>
      <c r="B94" s="97"/>
      <c r="C94" s="102"/>
      <c r="D94" s="102"/>
      <c r="E94" s="102"/>
      <c r="F94" s="97"/>
      <c r="K94" s="98"/>
      <c r="O94" s="34"/>
      <c r="Q94" s="34"/>
      <c r="S94" s="102"/>
      <c r="T94" s="102"/>
      <c r="U94" s="102"/>
      <c r="W94" s="98"/>
      <c r="X94" s="102"/>
    </row>
    <row r="95">
      <c r="A95" s="15"/>
      <c r="B95" s="97"/>
      <c r="C95" s="102"/>
      <c r="D95" s="102"/>
      <c r="E95" s="102"/>
      <c r="F95" s="97"/>
      <c r="K95" s="98"/>
      <c r="O95" s="34"/>
      <c r="Q95" s="34"/>
      <c r="S95" s="102"/>
      <c r="T95" s="102"/>
      <c r="U95" s="102"/>
      <c r="W95" s="98"/>
      <c r="X95" s="102"/>
    </row>
    <row r="96">
      <c r="A96" s="15"/>
      <c r="B96" s="97"/>
      <c r="C96" s="102"/>
      <c r="D96" s="102"/>
      <c r="E96" s="102"/>
      <c r="F96" s="97"/>
      <c r="K96" s="98"/>
      <c r="O96" s="34"/>
      <c r="Q96" s="34"/>
      <c r="S96" s="102"/>
      <c r="T96" s="102"/>
      <c r="U96" s="102"/>
      <c r="W96" s="98"/>
    </row>
    <row r="97">
      <c r="A97" s="133"/>
      <c r="B97" s="103"/>
      <c r="K97" s="108"/>
    </row>
    <row r="98">
      <c r="A98" s="133"/>
      <c r="B98" s="97"/>
      <c r="C98" s="102"/>
      <c r="D98" s="102"/>
      <c r="E98" s="102"/>
      <c r="F98" s="97"/>
      <c r="K98" s="98"/>
      <c r="O98" s="34"/>
      <c r="Q98" s="34"/>
      <c r="S98" s="102"/>
      <c r="T98" s="102"/>
      <c r="U98" s="102"/>
      <c r="W98" s="98"/>
    </row>
    <row r="99">
      <c r="A99" s="133"/>
      <c r="B99" s="97"/>
      <c r="C99" s="102"/>
      <c r="D99" s="102"/>
      <c r="E99" s="102"/>
      <c r="F99" s="97"/>
      <c r="K99" s="98"/>
      <c r="O99" s="34"/>
      <c r="Q99" s="34"/>
      <c r="S99" s="102"/>
      <c r="T99" s="102"/>
      <c r="U99" s="102"/>
      <c r="W99" s="98"/>
    </row>
    <row r="100">
      <c r="A100" s="133"/>
      <c r="B100" s="97"/>
      <c r="C100" s="102"/>
      <c r="D100" s="102"/>
      <c r="E100" s="102"/>
      <c r="F100" s="97"/>
      <c r="K100" s="98"/>
      <c r="O100" s="34"/>
      <c r="Q100" s="34"/>
      <c r="R100" s="44"/>
      <c r="S100" s="102"/>
      <c r="T100" s="102"/>
      <c r="U100" s="102"/>
      <c r="W100" s="98"/>
      <c r="X100" s="102"/>
    </row>
    <row r="101">
      <c r="A101" s="133"/>
      <c r="B101" s="97"/>
      <c r="C101" s="102"/>
      <c r="D101" s="102"/>
      <c r="E101" s="102"/>
      <c r="F101" s="97"/>
      <c r="K101" s="98"/>
      <c r="O101" s="34"/>
      <c r="Q101" s="34"/>
      <c r="S101" s="102"/>
      <c r="T101" s="102"/>
      <c r="U101" s="102"/>
      <c r="W101" s="102"/>
      <c r="X101" s="102"/>
    </row>
    <row r="102">
      <c r="A102" s="133"/>
      <c r="B102" s="97"/>
      <c r="C102" s="102"/>
      <c r="D102" s="102"/>
      <c r="E102" s="102"/>
      <c r="F102" s="97"/>
      <c r="K102" s="98"/>
      <c r="O102" s="34"/>
      <c r="Q102" s="34"/>
      <c r="R102" s="44"/>
      <c r="S102" s="102"/>
      <c r="T102" s="102"/>
      <c r="X102" s="102"/>
    </row>
    <row r="103">
      <c r="A103" s="133"/>
      <c r="B103" s="97"/>
      <c r="C103" s="102"/>
      <c r="D103" s="102"/>
      <c r="E103" s="102"/>
      <c r="F103" s="97"/>
      <c r="K103" s="98"/>
      <c r="O103" s="34"/>
      <c r="Q103" s="34"/>
      <c r="S103" s="102"/>
      <c r="T103" s="102"/>
      <c r="U103" s="102"/>
      <c r="W103" s="102"/>
      <c r="X103" s="61"/>
    </row>
    <row r="104">
      <c r="A104" s="15"/>
      <c r="B104" s="97"/>
      <c r="C104" s="102"/>
      <c r="D104" s="102"/>
      <c r="E104" s="53"/>
      <c r="F104" s="97"/>
      <c r="O104" s="34"/>
      <c r="Q104" s="34"/>
      <c r="S104" s="102"/>
      <c r="T104" s="102"/>
      <c r="U104" s="102"/>
    </row>
    <row r="105">
      <c r="A105" s="15"/>
      <c r="B105" s="97"/>
      <c r="C105" s="53"/>
      <c r="E105" s="102"/>
      <c r="O105" s="34"/>
      <c r="Q105" s="34"/>
      <c r="S105" s="102"/>
      <c r="T105" s="102"/>
      <c r="U105" s="102"/>
    </row>
    <row r="106">
      <c r="A106" s="15"/>
      <c r="B106" s="103"/>
      <c r="C106" s="52"/>
    </row>
    <row r="107">
      <c r="A107" s="15"/>
      <c r="C107" s="53"/>
      <c r="D107" s="102"/>
      <c r="E107" s="102"/>
      <c r="F107" s="97"/>
      <c r="O107" s="34"/>
      <c r="Q107" s="34"/>
      <c r="S107" s="102"/>
      <c r="T107" s="102"/>
      <c r="U107" s="102"/>
    </row>
    <row r="108">
      <c r="A108" s="15"/>
      <c r="C108" s="53"/>
      <c r="D108" s="102"/>
      <c r="E108" s="102"/>
      <c r="F108" s="97"/>
      <c r="O108" s="34"/>
      <c r="Q108" s="34"/>
      <c r="R108" s="44"/>
      <c r="S108" s="102"/>
      <c r="T108" s="102"/>
      <c r="U108" s="102"/>
    </row>
    <row r="109">
      <c r="A109" s="15"/>
      <c r="C109" s="53"/>
      <c r="D109" s="102"/>
      <c r="E109" s="102"/>
      <c r="F109" s="97"/>
      <c r="O109" s="34"/>
      <c r="Q109" s="34"/>
      <c r="S109" s="102"/>
      <c r="T109" s="102"/>
      <c r="U109" s="102"/>
    </row>
    <row r="110">
      <c r="A110" s="15"/>
      <c r="C110" s="53"/>
      <c r="D110" s="102"/>
      <c r="E110" s="102"/>
      <c r="F110" s="97"/>
      <c r="O110" s="34"/>
      <c r="Q110" s="34"/>
      <c r="S110" s="102"/>
      <c r="T110" s="102"/>
      <c r="U110" s="102"/>
    </row>
    <row r="111">
      <c r="A111" s="135"/>
      <c r="B111" s="141"/>
      <c r="C111" s="137"/>
      <c r="D111" s="138"/>
      <c r="E111" s="138"/>
      <c r="F111" s="139"/>
      <c r="G111" s="140"/>
      <c r="H111" s="141"/>
      <c r="I111" s="142"/>
      <c r="J111" s="142"/>
      <c r="O111" s="34"/>
      <c r="Q111" s="34"/>
      <c r="S111" s="102"/>
      <c r="T111" s="102"/>
      <c r="U111" s="102"/>
      <c r="X111" s="61"/>
    </row>
    <row r="112">
      <c r="A112" s="15"/>
      <c r="C112" s="107"/>
      <c r="D112" s="53"/>
      <c r="E112" s="53"/>
      <c r="F112" s="139"/>
      <c r="O112" s="34"/>
      <c r="Q112" s="34"/>
      <c r="S112" s="102"/>
      <c r="T112" s="102"/>
    </row>
    <row r="113">
      <c r="A113" s="15"/>
      <c r="C113" s="107"/>
      <c r="D113" s="53"/>
      <c r="E113" s="53"/>
      <c r="F113" s="139"/>
      <c r="K113" s="98"/>
      <c r="O113" s="34"/>
      <c r="Q113" s="34"/>
      <c r="S113" s="102"/>
      <c r="T113" s="102"/>
      <c r="U113" s="102"/>
      <c r="W113" s="102"/>
      <c r="X113" s="61"/>
    </row>
    <row r="114">
      <c r="A114" s="15"/>
      <c r="C114" s="107"/>
      <c r="D114" s="53"/>
      <c r="E114" s="53"/>
      <c r="F114" s="139"/>
      <c r="O114" s="34"/>
      <c r="Q114" s="34"/>
      <c r="S114" s="102"/>
      <c r="T114" s="102"/>
      <c r="X114" s="102"/>
    </row>
    <row r="115">
      <c r="A115" s="15"/>
      <c r="C115" s="107"/>
      <c r="D115" s="53"/>
      <c r="E115" s="53"/>
      <c r="F115" s="139"/>
      <c r="O115" s="34"/>
      <c r="Q115" s="34"/>
      <c r="S115" s="102"/>
      <c r="T115" s="102"/>
    </row>
    <row r="117">
      <c r="A117" s="20"/>
      <c r="C117" s="102"/>
      <c r="D117" s="102"/>
      <c r="E117" s="102"/>
      <c r="F117" s="97"/>
      <c r="O117" s="34"/>
      <c r="Q117" s="34"/>
      <c r="S117" s="102"/>
      <c r="T117" s="102"/>
      <c r="U117" s="102"/>
      <c r="W117" s="98"/>
    </row>
    <row r="118">
      <c r="A118" s="20"/>
      <c r="C118" s="102"/>
      <c r="D118" s="102"/>
      <c r="E118" s="102"/>
      <c r="F118" s="97"/>
      <c r="O118" s="34"/>
      <c r="Q118" s="34"/>
      <c r="S118" s="102"/>
      <c r="T118" s="102"/>
      <c r="U118" s="102"/>
      <c r="W118" s="98"/>
    </row>
    <row r="119">
      <c r="A119" s="20"/>
      <c r="C119" s="102"/>
      <c r="D119" s="102"/>
      <c r="E119" s="102"/>
      <c r="F119" s="97"/>
      <c r="K119" s="98"/>
      <c r="O119" s="34"/>
      <c r="Q119" s="34"/>
      <c r="S119" s="102"/>
      <c r="T119" s="102"/>
      <c r="U119" s="102"/>
      <c r="W119" s="102"/>
      <c r="X119" s="61"/>
    </row>
    <row r="120">
      <c r="A120" s="20"/>
      <c r="C120" s="102"/>
      <c r="D120" s="102"/>
      <c r="E120" s="102"/>
      <c r="F120" s="97"/>
      <c r="O120" s="34"/>
      <c r="Q120" s="34"/>
      <c r="R120" s="44"/>
      <c r="S120" s="102"/>
      <c r="T120" s="102"/>
      <c r="U120" s="102"/>
    </row>
    <row r="121">
      <c r="A121" s="20"/>
      <c r="C121" s="102"/>
      <c r="D121" s="102"/>
      <c r="E121" s="102"/>
      <c r="F121" s="97"/>
      <c r="O121" s="34"/>
      <c r="Q121" s="34"/>
      <c r="S121" s="102"/>
      <c r="T121" s="102"/>
      <c r="U121" s="102"/>
    </row>
    <row r="122">
      <c r="C122" s="102"/>
      <c r="D122" s="107"/>
      <c r="E122" s="107"/>
      <c r="F122" s="97"/>
      <c r="K122" s="98"/>
      <c r="O122" s="34"/>
      <c r="Q122" s="34"/>
      <c r="S122" s="102"/>
      <c r="T122" s="102"/>
      <c r="U122" s="102"/>
      <c r="W122" s="102"/>
      <c r="X122" s="102"/>
    </row>
    <row r="124">
      <c r="A124" s="20"/>
      <c r="C124" s="102"/>
      <c r="D124" s="107"/>
      <c r="E124" s="107"/>
      <c r="F124" s="97"/>
      <c r="O124" s="34"/>
      <c r="Q124" s="34"/>
      <c r="S124" s="102"/>
      <c r="T124" s="102"/>
      <c r="U124" s="102"/>
    </row>
    <row r="125">
      <c r="A125" s="20"/>
      <c r="C125" s="102"/>
      <c r="D125" s="102"/>
      <c r="E125" s="102"/>
      <c r="F125" s="97"/>
      <c r="O125" s="34"/>
      <c r="Q125" s="34"/>
      <c r="S125" s="102"/>
      <c r="T125" s="102"/>
      <c r="U125" s="102"/>
    </row>
    <row r="126">
      <c r="A126" s="20"/>
      <c r="C126" s="102"/>
      <c r="D126" s="102"/>
      <c r="E126" s="102"/>
      <c r="F126" s="97"/>
      <c r="O126" s="34"/>
      <c r="Q126" s="34"/>
      <c r="S126" s="102"/>
      <c r="T126" s="102"/>
      <c r="U126" s="102"/>
    </row>
    <row r="127">
      <c r="A127" s="20"/>
      <c r="C127" s="102"/>
      <c r="D127" s="107"/>
      <c r="E127" s="107"/>
      <c r="F127" s="97"/>
      <c r="K127" s="98"/>
      <c r="O127" s="34"/>
      <c r="Q127" s="34"/>
      <c r="S127" s="102"/>
      <c r="T127" s="102"/>
      <c r="U127" s="102"/>
      <c r="W127" s="102"/>
      <c r="X127" s="102"/>
    </row>
    <row r="129">
      <c r="A129" s="20"/>
      <c r="C129" s="107"/>
      <c r="D129" s="102"/>
      <c r="E129" s="102"/>
      <c r="F129" s="97"/>
      <c r="O129" s="34"/>
      <c r="Q129" s="34"/>
      <c r="S129" s="102"/>
      <c r="T129" s="102"/>
    </row>
    <row r="130">
      <c r="A130" s="20"/>
      <c r="O130" s="34"/>
      <c r="Q130" s="34"/>
    </row>
    <row r="131">
      <c r="A131" s="20"/>
      <c r="O131" s="34"/>
      <c r="Q131" s="34"/>
    </row>
    <row r="132">
      <c r="A132" s="20"/>
      <c r="O132" s="34"/>
      <c r="Q132" s="34"/>
    </row>
    <row r="134">
      <c r="A134" s="144"/>
      <c r="B134" s="103"/>
      <c r="F134" s="22"/>
      <c r="P134" s="22"/>
      <c r="Q134" s="41"/>
    </row>
    <row r="135">
      <c r="A135" s="15"/>
      <c r="B135" s="97"/>
    </row>
    <row r="136">
      <c r="A136" s="15"/>
      <c r="B136" s="97"/>
    </row>
    <row r="137">
      <c r="A137" s="15"/>
      <c r="B137" s="97"/>
    </row>
    <row r="138">
      <c r="A138" s="15"/>
      <c r="B138" s="97"/>
      <c r="G138" s="41"/>
      <c r="H138" s="41"/>
    </row>
    <row r="140">
      <c r="G140" s="41"/>
    </row>
    <row r="142">
      <c r="B142" s="103"/>
    </row>
    <row r="143">
      <c r="B143" s="103"/>
    </row>
    <row r="144">
      <c r="B144" s="103"/>
    </row>
    <row r="145">
      <c r="B145" s="103"/>
    </row>
    <row r="146">
      <c r="B146" s="103"/>
    </row>
    <row r="147">
      <c r="B147" s="103"/>
    </row>
    <row r="148">
      <c r="B148" s="103"/>
    </row>
    <row r="149">
      <c r="B149" s="103"/>
    </row>
    <row r="150">
      <c r="B150" s="103"/>
    </row>
    <row r="151">
      <c r="B151" s="103"/>
    </row>
    <row r="152">
      <c r="B152" s="103"/>
    </row>
    <row r="153">
      <c r="B153" s="103"/>
    </row>
    <row r="154">
      <c r="B154" s="103"/>
    </row>
    <row r="155">
      <c r="B155" s="103"/>
    </row>
    <row r="156">
      <c r="B156" s="103"/>
    </row>
    <row r="157">
      <c r="B157" s="103"/>
    </row>
    <row r="158">
      <c r="B158" s="103"/>
    </row>
    <row r="159">
      <c r="B159" s="103"/>
    </row>
    <row r="160">
      <c r="B160" s="103"/>
    </row>
    <row r="161">
      <c r="B161" s="103"/>
    </row>
    <row r="162">
      <c r="B162" s="103"/>
    </row>
    <row r="163">
      <c r="B163" s="103"/>
    </row>
    <row r="164">
      <c r="B164" s="103"/>
    </row>
    <row r="165">
      <c r="B165" s="103"/>
    </row>
    <row r="166">
      <c r="B166" s="103"/>
    </row>
    <row r="167">
      <c r="B167" s="103"/>
    </row>
    <row r="168">
      <c r="B168" s="103"/>
    </row>
    <row r="169">
      <c r="B169" s="103"/>
    </row>
    <row r="170">
      <c r="B170" s="103"/>
    </row>
    <row r="171">
      <c r="B171" s="103"/>
    </row>
    <row r="172">
      <c r="B172" s="103"/>
    </row>
    <row r="173">
      <c r="B173" s="103"/>
    </row>
    <row r="174">
      <c r="B174" s="103"/>
    </row>
    <row r="175">
      <c r="B175" s="103"/>
    </row>
    <row r="176">
      <c r="B176" s="103"/>
    </row>
    <row r="177">
      <c r="B177" s="103"/>
    </row>
    <row r="178">
      <c r="B178" s="103"/>
    </row>
    <row r="179">
      <c r="B179" s="103"/>
    </row>
    <row r="180">
      <c r="B180" s="103"/>
    </row>
    <row r="181">
      <c r="B181" s="103"/>
    </row>
    <row r="182">
      <c r="B182" s="103"/>
    </row>
    <row r="183">
      <c r="B183" s="103"/>
    </row>
    <row r="184">
      <c r="B184" s="103"/>
    </row>
    <row r="185">
      <c r="B185" s="103"/>
    </row>
    <row r="186">
      <c r="B186" s="103"/>
    </row>
    <row r="187">
      <c r="B187" s="103"/>
    </row>
    <row r="188">
      <c r="B188" s="103"/>
    </row>
    <row r="189">
      <c r="B189" s="103"/>
    </row>
    <row r="190">
      <c r="B190" s="103"/>
    </row>
    <row r="191">
      <c r="B191" s="103"/>
    </row>
    <row r="192">
      <c r="B192" s="103"/>
    </row>
    <row r="193">
      <c r="B193" s="103"/>
    </row>
    <row r="194">
      <c r="B194" s="103"/>
    </row>
    <row r="195">
      <c r="B195" s="103"/>
    </row>
    <row r="196">
      <c r="B196" s="103"/>
    </row>
    <row r="197">
      <c r="B197" s="103"/>
    </row>
    <row r="198">
      <c r="B198" s="103"/>
    </row>
    <row r="199">
      <c r="B199" s="103"/>
    </row>
    <row r="200">
      <c r="B200" s="103"/>
    </row>
    <row r="201">
      <c r="B201" s="103"/>
    </row>
    <row r="202">
      <c r="B202" s="103"/>
    </row>
    <row r="203">
      <c r="B203" s="103"/>
    </row>
    <row r="204">
      <c r="B204" s="103"/>
    </row>
    <row r="205">
      <c r="B205" s="103"/>
    </row>
    <row r="206">
      <c r="B206" s="103"/>
    </row>
    <row r="207">
      <c r="B207" s="103"/>
    </row>
    <row r="208">
      <c r="B208" s="103"/>
    </row>
    <row r="209">
      <c r="B209" s="103"/>
    </row>
    <row r="210">
      <c r="B210" s="103"/>
    </row>
    <row r="211">
      <c r="B211" s="103"/>
    </row>
    <row r="212">
      <c r="B212" s="103"/>
    </row>
    <row r="213">
      <c r="B213" s="103"/>
    </row>
    <row r="214">
      <c r="B214" s="103"/>
    </row>
    <row r="215">
      <c r="B215" s="103"/>
    </row>
    <row r="216">
      <c r="B216" s="103"/>
    </row>
    <row r="217">
      <c r="B217" s="103"/>
    </row>
    <row r="218">
      <c r="B218" s="103"/>
    </row>
    <row r="219">
      <c r="B219" s="103"/>
    </row>
    <row r="220">
      <c r="B220" s="103"/>
    </row>
    <row r="221">
      <c r="B221" s="103"/>
    </row>
    <row r="222">
      <c r="B222" s="103"/>
    </row>
    <row r="223">
      <c r="B223" s="103"/>
    </row>
    <row r="224">
      <c r="B224" s="103"/>
    </row>
    <row r="225">
      <c r="B225" s="103"/>
    </row>
    <row r="226">
      <c r="B226" s="103"/>
    </row>
    <row r="227">
      <c r="B227" s="103"/>
    </row>
    <row r="228">
      <c r="B228" s="103"/>
    </row>
    <row r="229">
      <c r="B229" s="103"/>
    </row>
    <row r="230">
      <c r="B230" s="103"/>
    </row>
    <row r="231">
      <c r="B231" s="103"/>
    </row>
    <row r="232">
      <c r="B232" s="103"/>
    </row>
    <row r="233">
      <c r="B233" s="103"/>
    </row>
    <row r="234">
      <c r="B234" s="103"/>
    </row>
    <row r="235">
      <c r="B235" s="103"/>
    </row>
    <row r="236">
      <c r="B236" s="103"/>
    </row>
    <row r="237">
      <c r="B237" s="103"/>
    </row>
    <row r="238">
      <c r="B238" s="103"/>
    </row>
    <row r="239">
      <c r="B239" s="103"/>
    </row>
    <row r="240">
      <c r="B240" s="103"/>
    </row>
    <row r="241">
      <c r="B241" s="103"/>
    </row>
    <row r="242">
      <c r="B242" s="103"/>
    </row>
    <row r="243">
      <c r="B243" s="103"/>
    </row>
    <row r="244">
      <c r="B244" s="103"/>
    </row>
    <row r="245">
      <c r="B245" s="103"/>
    </row>
    <row r="246">
      <c r="B246" s="103"/>
    </row>
    <row r="247">
      <c r="B247" s="103"/>
    </row>
    <row r="248">
      <c r="B248" s="103"/>
    </row>
    <row r="249">
      <c r="B249" s="103"/>
    </row>
    <row r="250">
      <c r="B250" s="103"/>
    </row>
    <row r="251">
      <c r="B251" s="103"/>
    </row>
    <row r="252">
      <c r="B252" s="103"/>
    </row>
    <row r="253">
      <c r="B253" s="103"/>
    </row>
    <row r="254">
      <c r="B254" s="103"/>
    </row>
    <row r="255">
      <c r="B255" s="103"/>
    </row>
    <row r="256">
      <c r="B256" s="103"/>
    </row>
    <row r="257">
      <c r="B257" s="103"/>
    </row>
    <row r="258">
      <c r="B258" s="103"/>
    </row>
    <row r="259">
      <c r="B259" s="103"/>
    </row>
    <row r="260">
      <c r="B260" s="103"/>
    </row>
    <row r="261">
      <c r="B261" s="103"/>
    </row>
    <row r="262">
      <c r="B262" s="103"/>
    </row>
    <row r="263">
      <c r="B263" s="103"/>
    </row>
    <row r="264">
      <c r="B264" s="103"/>
    </row>
    <row r="265">
      <c r="B265" s="103"/>
    </row>
    <row r="266">
      <c r="B266" s="103"/>
    </row>
    <row r="267">
      <c r="B267" s="103"/>
    </row>
    <row r="268">
      <c r="B268" s="103"/>
    </row>
    <row r="269">
      <c r="B269" s="103"/>
    </row>
    <row r="270">
      <c r="B270" s="103"/>
    </row>
    <row r="271">
      <c r="B271" s="103"/>
    </row>
    <row r="272">
      <c r="B272" s="103"/>
    </row>
    <row r="273">
      <c r="B273" s="103"/>
    </row>
    <row r="274">
      <c r="B274" s="103"/>
    </row>
    <row r="275">
      <c r="B275" s="103"/>
    </row>
    <row r="276">
      <c r="B276" s="103"/>
    </row>
    <row r="277">
      <c r="B277" s="103"/>
    </row>
    <row r="278">
      <c r="B278" s="103"/>
    </row>
    <row r="279">
      <c r="B279" s="103"/>
    </row>
    <row r="280">
      <c r="B280" s="103"/>
    </row>
    <row r="281">
      <c r="B281" s="103"/>
    </row>
    <row r="282">
      <c r="B282" s="103"/>
    </row>
    <row r="283">
      <c r="B283" s="103"/>
    </row>
    <row r="284">
      <c r="B284" s="103"/>
    </row>
    <row r="285">
      <c r="B285" s="103"/>
    </row>
    <row r="286">
      <c r="B286" s="103"/>
    </row>
    <row r="287">
      <c r="B287" s="103"/>
    </row>
    <row r="288">
      <c r="B288" s="103"/>
    </row>
    <row r="289">
      <c r="B289" s="103"/>
    </row>
    <row r="290">
      <c r="B290" s="103"/>
    </row>
    <row r="291">
      <c r="B291" s="103"/>
    </row>
    <row r="292">
      <c r="B292" s="103"/>
    </row>
    <row r="293">
      <c r="B293" s="103"/>
    </row>
    <row r="294">
      <c r="B294" s="103"/>
    </row>
    <row r="295">
      <c r="B295" s="103"/>
    </row>
    <row r="296">
      <c r="B296" s="103"/>
    </row>
    <row r="297">
      <c r="B297" s="103"/>
    </row>
    <row r="298">
      <c r="B298" s="103"/>
    </row>
    <row r="299">
      <c r="B299" s="103"/>
    </row>
    <row r="300">
      <c r="B300" s="103"/>
    </row>
    <row r="301">
      <c r="B301" s="103"/>
    </row>
    <row r="302">
      <c r="B302" s="103"/>
    </row>
    <row r="303">
      <c r="B303" s="103"/>
    </row>
    <row r="304">
      <c r="B304" s="103"/>
    </row>
    <row r="305">
      <c r="B305" s="103"/>
    </row>
    <row r="306">
      <c r="B306" s="103"/>
    </row>
    <row r="307">
      <c r="B307" s="103"/>
    </row>
    <row r="308">
      <c r="B308" s="103"/>
    </row>
    <row r="309">
      <c r="B309" s="103"/>
    </row>
    <row r="310">
      <c r="B310" s="103"/>
    </row>
    <row r="311">
      <c r="B311" s="103"/>
    </row>
    <row r="312">
      <c r="B312" s="103"/>
    </row>
    <row r="313">
      <c r="B313" s="103"/>
    </row>
    <row r="314">
      <c r="B314" s="103"/>
    </row>
    <row r="315">
      <c r="B315" s="103"/>
    </row>
    <row r="316">
      <c r="B316" s="103"/>
    </row>
    <row r="317">
      <c r="B317" s="103"/>
    </row>
    <row r="318">
      <c r="B318" s="103"/>
    </row>
    <row r="319">
      <c r="B319" s="103"/>
    </row>
    <row r="320">
      <c r="B320" s="103"/>
    </row>
    <row r="321">
      <c r="B321" s="103"/>
    </row>
    <row r="322">
      <c r="B322" s="103"/>
    </row>
    <row r="323">
      <c r="B323" s="103"/>
    </row>
    <row r="324">
      <c r="B324" s="103"/>
    </row>
    <row r="325">
      <c r="B325" s="103"/>
    </row>
    <row r="326">
      <c r="B326" s="103"/>
    </row>
    <row r="327">
      <c r="B327" s="103"/>
    </row>
    <row r="328">
      <c r="B328" s="103"/>
    </row>
    <row r="329">
      <c r="B329" s="103"/>
    </row>
    <row r="330">
      <c r="B330" s="103"/>
    </row>
    <row r="331">
      <c r="B331" s="103"/>
    </row>
    <row r="332">
      <c r="B332" s="103"/>
    </row>
    <row r="333">
      <c r="B333" s="103"/>
    </row>
    <row r="334">
      <c r="B334" s="103"/>
    </row>
    <row r="335">
      <c r="B335" s="103"/>
    </row>
    <row r="336">
      <c r="B336" s="103"/>
    </row>
    <row r="337">
      <c r="B337" s="103"/>
    </row>
    <row r="338">
      <c r="B338" s="103"/>
    </row>
    <row r="339">
      <c r="B339" s="103"/>
    </row>
    <row r="340">
      <c r="B340" s="103"/>
    </row>
    <row r="341">
      <c r="B341" s="103"/>
    </row>
    <row r="342">
      <c r="B342" s="103"/>
    </row>
    <row r="343">
      <c r="B343" s="103"/>
    </row>
    <row r="344">
      <c r="B344" s="103"/>
    </row>
    <row r="345">
      <c r="B345" s="103"/>
    </row>
    <row r="346">
      <c r="B346" s="103"/>
    </row>
    <row r="347">
      <c r="B347" s="103"/>
    </row>
    <row r="348">
      <c r="B348" s="103"/>
    </row>
    <row r="349">
      <c r="B349" s="103"/>
    </row>
    <row r="350">
      <c r="B350" s="103"/>
    </row>
    <row r="351">
      <c r="B351" s="103"/>
    </row>
    <row r="352">
      <c r="B352" s="103"/>
    </row>
    <row r="353">
      <c r="B353" s="103"/>
    </row>
    <row r="354">
      <c r="B354" s="103"/>
    </row>
    <row r="355">
      <c r="B355" s="103"/>
    </row>
    <row r="356">
      <c r="B356" s="103"/>
    </row>
    <row r="357">
      <c r="B357" s="103"/>
    </row>
    <row r="358">
      <c r="B358" s="103"/>
    </row>
    <row r="359">
      <c r="B359" s="103"/>
    </row>
    <row r="360">
      <c r="B360" s="103"/>
    </row>
    <row r="361">
      <c r="B361" s="103"/>
    </row>
    <row r="362">
      <c r="B362" s="103"/>
    </row>
    <row r="363">
      <c r="B363" s="103"/>
    </row>
    <row r="364">
      <c r="B364" s="103"/>
    </row>
    <row r="365">
      <c r="B365" s="103"/>
    </row>
    <row r="366">
      <c r="B366" s="103"/>
    </row>
    <row r="367">
      <c r="B367" s="103"/>
    </row>
    <row r="368">
      <c r="B368" s="103"/>
    </row>
    <row r="369">
      <c r="B369" s="103"/>
    </row>
    <row r="370">
      <c r="B370" s="103"/>
    </row>
    <row r="371">
      <c r="B371" s="103"/>
    </row>
    <row r="372">
      <c r="B372" s="103"/>
    </row>
    <row r="373">
      <c r="B373" s="103"/>
    </row>
    <row r="374">
      <c r="B374" s="103"/>
    </row>
    <row r="375">
      <c r="B375" s="103"/>
    </row>
    <row r="376">
      <c r="B376" s="103"/>
    </row>
    <row r="377">
      <c r="B377" s="103"/>
    </row>
    <row r="378">
      <c r="B378" s="103"/>
    </row>
    <row r="379">
      <c r="B379" s="103"/>
    </row>
    <row r="380">
      <c r="B380" s="103"/>
    </row>
    <row r="381">
      <c r="B381" s="103"/>
    </row>
    <row r="382">
      <c r="B382" s="103"/>
    </row>
    <row r="383">
      <c r="B383" s="103"/>
    </row>
    <row r="384">
      <c r="B384" s="103"/>
    </row>
    <row r="385">
      <c r="B385" s="103"/>
    </row>
    <row r="386">
      <c r="B386" s="103"/>
    </row>
    <row r="387">
      <c r="B387" s="103"/>
    </row>
    <row r="388">
      <c r="B388" s="103"/>
    </row>
    <row r="389">
      <c r="B389" s="103"/>
    </row>
    <row r="390">
      <c r="B390" s="103"/>
    </row>
    <row r="391">
      <c r="B391" s="103"/>
    </row>
    <row r="392">
      <c r="B392" s="103"/>
    </row>
    <row r="393">
      <c r="B393" s="103"/>
    </row>
    <row r="394">
      <c r="B394" s="103"/>
    </row>
    <row r="395">
      <c r="B395" s="103"/>
    </row>
    <row r="396">
      <c r="B396" s="103"/>
    </row>
    <row r="397">
      <c r="B397" s="103"/>
    </row>
    <row r="398">
      <c r="B398" s="103"/>
    </row>
    <row r="399">
      <c r="B399" s="103"/>
    </row>
    <row r="400">
      <c r="B400" s="103"/>
    </row>
    <row r="401">
      <c r="B401" s="103"/>
    </row>
    <row r="402">
      <c r="B402" s="103"/>
    </row>
    <row r="403">
      <c r="B403" s="103"/>
    </row>
    <row r="404">
      <c r="B404" s="103"/>
    </row>
    <row r="405">
      <c r="B405" s="103"/>
    </row>
    <row r="406">
      <c r="B406" s="103"/>
    </row>
    <row r="407">
      <c r="B407" s="103"/>
    </row>
    <row r="408">
      <c r="B408" s="103"/>
    </row>
    <row r="409">
      <c r="B409" s="103"/>
    </row>
    <row r="410">
      <c r="B410" s="103"/>
    </row>
    <row r="411">
      <c r="B411" s="103"/>
    </row>
    <row r="412">
      <c r="B412" s="103"/>
    </row>
    <row r="413">
      <c r="B413" s="103"/>
    </row>
    <row r="414">
      <c r="B414" s="103"/>
    </row>
    <row r="415">
      <c r="B415" s="103"/>
    </row>
    <row r="416">
      <c r="B416" s="103"/>
    </row>
    <row r="417">
      <c r="B417" s="103"/>
    </row>
    <row r="418">
      <c r="B418" s="103"/>
    </row>
    <row r="419">
      <c r="B419" s="103"/>
    </row>
    <row r="420">
      <c r="B420" s="103"/>
    </row>
    <row r="421">
      <c r="B421" s="103"/>
    </row>
    <row r="422">
      <c r="B422" s="103"/>
    </row>
    <row r="423">
      <c r="B423" s="103"/>
    </row>
    <row r="424">
      <c r="B424" s="103"/>
    </row>
    <row r="425">
      <c r="B425" s="103"/>
    </row>
    <row r="426">
      <c r="B426" s="103"/>
    </row>
    <row r="427">
      <c r="B427" s="103"/>
    </row>
    <row r="428">
      <c r="B428" s="103"/>
    </row>
    <row r="429">
      <c r="B429" s="103"/>
    </row>
    <row r="430">
      <c r="B430" s="103"/>
    </row>
    <row r="431">
      <c r="B431" s="103"/>
    </row>
    <row r="432">
      <c r="B432" s="103"/>
    </row>
    <row r="433">
      <c r="B433" s="103"/>
    </row>
    <row r="434">
      <c r="B434" s="103"/>
    </row>
    <row r="435">
      <c r="B435" s="103"/>
    </row>
    <row r="436">
      <c r="B436" s="103"/>
    </row>
    <row r="437">
      <c r="B437" s="103"/>
    </row>
    <row r="438">
      <c r="B438" s="103"/>
    </row>
    <row r="439">
      <c r="B439" s="103"/>
    </row>
    <row r="440">
      <c r="B440" s="103"/>
    </row>
    <row r="441">
      <c r="B441" s="103"/>
    </row>
    <row r="442">
      <c r="B442" s="103"/>
    </row>
    <row r="443">
      <c r="B443" s="103"/>
    </row>
    <row r="444">
      <c r="B444" s="103"/>
    </row>
    <row r="445">
      <c r="B445" s="103"/>
    </row>
    <row r="446">
      <c r="B446" s="103"/>
    </row>
    <row r="447">
      <c r="B447" s="103"/>
    </row>
    <row r="448">
      <c r="B448" s="103"/>
    </row>
    <row r="449">
      <c r="B449" s="103"/>
    </row>
    <row r="450">
      <c r="B450" s="103"/>
    </row>
    <row r="451">
      <c r="B451" s="103"/>
    </row>
    <row r="452">
      <c r="B452" s="103"/>
    </row>
    <row r="453">
      <c r="B453" s="103"/>
    </row>
    <row r="454">
      <c r="B454" s="103"/>
    </row>
    <row r="455">
      <c r="B455" s="103"/>
    </row>
    <row r="456">
      <c r="B456" s="103"/>
    </row>
    <row r="457">
      <c r="B457" s="103"/>
    </row>
    <row r="458">
      <c r="B458" s="103"/>
    </row>
    <row r="459">
      <c r="B459" s="103"/>
    </row>
    <row r="460">
      <c r="B460" s="103"/>
    </row>
    <row r="461">
      <c r="B461" s="103"/>
    </row>
    <row r="462">
      <c r="B462" s="103"/>
    </row>
    <row r="463">
      <c r="B463" s="103"/>
    </row>
    <row r="464">
      <c r="B464" s="103"/>
    </row>
    <row r="465">
      <c r="B465" s="103"/>
    </row>
    <row r="466">
      <c r="B466" s="103"/>
    </row>
    <row r="467">
      <c r="B467" s="103"/>
    </row>
    <row r="468">
      <c r="B468" s="103"/>
    </row>
    <row r="469">
      <c r="B469" s="103"/>
    </row>
    <row r="470">
      <c r="B470" s="103"/>
    </row>
    <row r="471">
      <c r="B471" s="103"/>
    </row>
    <row r="472">
      <c r="B472" s="103"/>
    </row>
    <row r="473">
      <c r="B473" s="103"/>
    </row>
    <row r="474">
      <c r="B474" s="103"/>
    </row>
    <row r="475">
      <c r="B475" s="103"/>
    </row>
    <row r="476">
      <c r="B476" s="103"/>
    </row>
    <row r="477">
      <c r="B477" s="103"/>
    </row>
    <row r="478">
      <c r="B478" s="103"/>
    </row>
    <row r="479">
      <c r="B479" s="103"/>
    </row>
    <row r="480">
      <c r="B480" s="103"/>
    </row>
    <row r="481">
      <c r="B481" s="103"/>
    </row>
    <row r="482">
      <c r="B482" s="103"/>
    </row>
    <row r="483">
      <c r="B483" s="103"/>
    </row>
    <row r="484">
      <c r="B484" s="103"/>
    </row>
    <row r="485">
      <c r="B485" s="103"/>
    </row>
    <row r="486">
      <c r="B486" s="103"/>
    </row>
    <row r="487">
      <c r="B487" s="103"/>
    </row>
    <row r="488">
      <c r="B488" s="103"/>
    </row>
    <row r="489">
      <c r="B489" s="103"/>
    </row>
    <row r="490">
      <c r="B490" s="103"/>
    </row>
    <row r="491">
      <c r="B491" s="103"/>
    </row>
    <row r="492">
      <c r="B492" s="103"/>
    </row>
    <row r="493">
      <c r="B493" s="103"/>
    </row>
    <row r="494">
      <c r="B494" s="103"/>
    </row>
    <row r="495">
      <c r="B495" s="103"/>
    </row>
    <row r="496">
      <c r="B496" s="103"/>
    </row>
    <row r="497">
      <c r="B497" s="103"/>
    </row>
    <row r="498">
      <c r="B498" s="103"/>
    </row>
    <row r="499">
      <c r="B499" s="103"/>
    </row>
    <row r="500">
      <c r="B500" s="103"/>
    </row>
    <row r="501">
      <c r="B501" s="103"/>
    </row>
    <row r="502">
      <c r="B502" s="103"/>
    </row>
    <row r="503">
      <c r="B503" s="103"/>
    </row>
    <row r="504">
      <c r="B504" s="103"/>
    </row>
    <row r="505">
      <c r="B505" s="103"/>
    </row>
    <row r="506">
      <c r="B506" s="103"/>
    </row>
    <row r="507">
      <c r="B507" s="103"/>
    </row>
    <row r="508">
      <c r="B508" s="103"/>
    </row>
    <row r="509">
      <c r="B509" s="103"/>
    </row>
    <row r="510">
      <c r="B510" s="103"/>
    </row>
    <row r="511">
      <c r="B511" s="103"/>
    </row>
    <row r="512">
      <c r="B512" s="103"/>
    </row>
    <row r="513">
      <c r="B513" s="103"/>
    </row>
    <row r="514">
      <c r="B514" s="103"/>
    </row>
    <row r="515">
      <c r="B515" s="103"/>
    </row>
    <row r="516">
      <c r="B516" s="103"/>
    </row>
    <row r="517">
      <c r="B517" s="103"/>
    </row>
    <row r="518">
      <c r="B518" s="103"/>
    </row>
    <row r="519">
      <c r="B519" s="103"/>
    </row>
    <row r="520">
      <c r="B520" s="103"/>
    </row>
    <row r="521">
      <c r="B521" s="103"/>
    </row>
    <row r="522">
      <c r="B522" s="103"/>
    </row>
    <row r="523">
      <c r="B523" s="103"/>
    </row>
    <row r="524">
      <c r="B524" s="103"/>
    </row>
    <row r="525">
      <c r="B525" s="103"/>
    </row>
    <row r="526">
      <c r="B526" s="103"/>
    </row>
    <row r="527">
      <c r="B527" s="103"/>
    </row>
    <row r="528">
      <c r="B528" s="103"/>
    </row>
    <row r="529">
      <c r="B529" s="103"/>
    </row>
    <row r="530">
      <c r="B530" s="103"/>
    </row>
    <row r="531">
      <c r="B531" s="103"/>
    </row>
    <row r="532">
      <c r="B532" s="103"/>
    </row>
    <row r="533">
      <c r="B533" s="103"/>
    </row>
    <row r="534">
      <c r="B534" s="103"/>
    </row>
    <row r="535">
      <c r="B535" s="103"/>
    </row>
    <row r="536">
      <c r="B536" s="103"/>
    </row>
    <row r="537">
      <c r="B537" s="103"/>
    </row>
    <row r="538">
      <c r="B538" s="103"/>
    </row>
    <row r="539">
      <c r="B539" s="103"/>
    </row>
    <row r="540">
      <c r="B540" s="103"/>
    </row>
    <row r="541">
      <c r="B541" s="103"/>
    </row>
    <row r="542">
      <c r="B542" s="103"/>
    </row>
    <row r="543">
      <c r="B543" s="103"/>
    </row>
    <row r="544">
      <c r="B544" s="103"/>
    </row>
    <row r="545">
      <c r="B545" s="103"/>
    </row>
    <row r="546">
      <c r="B546" s="103"/>
    </row>
    <row r="547">
      <c r="B547" s="103"/>
    </row>
    <row r="548">
      <c r="B548" s="103"/>
    </row>
    <row r="549">
      <c r="B549" s="103"/>
    </row>
    <row r="550">
      <c r="B550" s="103"/>
    </row>
    <row r="551">
      <c r="B551" s="103"/>
    </row>
    <row r="552">
      <c r="B552" s="103"/>
    </row>
    <row r="553">
      <c r="B553" s="103"/>
    </row>
    <row r="554">
      <c r="B554" s="103"/>
    </row>
    <row r="555">
      <c r="B555" s="103"/>
    </row>
    <row r="556">
      <c r="B556" s="103"/>
    </row>
    <row r="557">
      <c r="B557" s="103"/>
    </row>
    <row r="558">
      <c r="B558" s="103"/>
    </row>
    <row r="559">
      <c r="B559" s="103"/>
    </row>
    <row r="560">
      <c r="B560" s="103"/>
    </row>
    <row r="561">
      <c r="B561" s="103"/>
    </row>
    <row r="562">
      <c r="B562" s="103"/>
    </row>
    <row r="563">
      <c r="B563" s="103"/>
    </row>
    <row r="564">
      <c r="B564" s="103"/>
    </row>
    <row r="565">
      <c r="B565" s="103"/>
    </row>
    <row r="566">
      <c r="B566" s="103"/>
    </row>
    <row r="567">
      <c r="B567" s="103"/>
    </row>
    <row r="568">
      <c r="B568" s="103"/>
    </row>
    <row r="569">
      <c r="B569" s="103"/>
    </row>
    <row r="570">
      <c r="B570" s="103"/>
    </row>
    <row r="571">
      <c r="B571" s="103"/>
    </row>
    <row r="572">
      <c r="B572" s="103"/>
    </row>
    <row r="573">
      <c r="B573" s="103"/>
    </row>
    <row r="574">
      <c r="B574" s="103"/>
    </row>
    <row r="575">
      <c r="B575" s="103"/>
    </row>
    <row r="576">
      <c r="B576" s="103"/>
    </row>
    <row r="577">
      <c r="B577" s="103"/>
    </row>
    <row r="578">
      <c r="B578" s="103"/>
    </row>
    <row r="579">
      <c r="B579" s="103"/>
    </row>
    <row r="580">
      <c r="B580" s="103"/>
    </row>
    <row r="581">
      <c r="B581" s="103"/>
    </row>
    <row r="582">
      <c r="B582" s="103"/>
    </row>
    <row r="583">
      <c r="B583" s="103"/>
    </row>
    <row r="584">
      <c r="B584" s="103"/>
    </row>
    <row r="585">
      <c r="B585" s="103"/>
    </row>
    <row r="586">
      <c r="B586" s="103"/>
    </row>
    <row r="587">
      <c r="B587" s="103"/>
    </row>
    <row r="588">
      <c r="B588" s="103"/>
    </row>
    <row r="589">
      <c r="B589" s="103"/>
    </row>
    <row r="590">
      <c r="B590" s="103"/>
    </row>
    <row r="591">
      <c r="B591" s="103"/>
    </row>
    <row r="592">
      <c r="B592" s="103"/>
    </row>
    <row r="593">
      <c r="B593" s="103"/>
    </row>
    <row r="594">
      <c r="B594" s="103"/>
    </row>
    <row r="595">
      <c r="B595" s="103"/>
    </row>
    <row r="596">
      <c r="B596" s="103"/>
    </row>
    <row r="597">
      <c r="B597" s="103"/>
    </row>
    <row r="598">
      <c r="B598" s="103"/>
    </row>
    <row r="599">
      <c r="B599" s="103"/>
    </row>
    <row r="600">
      <c r="B600" s="103"/>
    </row>
    <row r="601">
      <c r="B601" s="103"/>
    </row>
    <row r="602">
      <c r="B602" s="103"/>
    </row>
    <row r="603">
      <c r="B603" s="103"/>
    </row>
    <row r="604">
      <c r="B604" s="103"/>
    </row>
    <row r="605">
      <c r="B605" s="103"/>
    </row>
    <row r="606">
      <c r="B606" s="103"/>
    </row>
    <row r="607">
      <c r="B607" s="103"/>
    </row>
    <row r="608">
      <c r="B608" s="103"/>
    </row>
    <row r="609">
      <c r="B609" s="103"/>
    </row>
    <row r="610">
      <c r="B610" s="103"/>
    </row>
    <row r="611">
      <c r="B611" s="103"/>
    </row>
    <row r="612">
      <c r="B612" s="103"/>
    </row>
    <row r="613">
      <c r="B613" s="103"/>
    </row>
    <row r="614">
      <c r="B614" s="103"/>
    </row>
    <row r="615">
      <c r="B615" s="103"/>
    </row>
    <row r="616">
      <c r="B616" s="103"/>
    </row>
    <row r="617">
      <c r="B617" s="103"/>
    </row>
    <row r="618">
      <c r="B618" s="103"/>
    </row>
    <row r="619">
      <c r="B619" s="103"/>
    </row>
    <row r="620">
      <c r="B620" s="103"/>
    </row>
    <row r="621">
      <c r="B621" s="103"/>
    </row>
    <row r="622">
      <c r="B622" s="103"/>
    </row>
    <row r="623">
      <c r="B623" s="103"/>
    </row>
    <row r="624">
      <c r="B624" s="103"/>
    </row>
    <row r="625">
      <c r="B625" s="103"/>
    </row>
    <row r="626">
      <c r="B626" s="103"/>
    </row>
    <row r="627">
      <c r="B627" s="103"/>
    </row>
    <row r="628">
      <c r="B628" s="103"/>
    </row>
    <row r="629">
      <c r="B629" s="103"/>
    </row>
    <row r="630">
      <c r="B630" s="103"/>
    </row>
    <row r="631">
      <c r="B631" s="103"/>
    </row>
    <row r="632">
      <c r="B632" s="103"/>
    </row>
    <row r="633">
      <c r="B633" s="103"/>
    </row>
    <row r="634">
      <c r="B634" s="103"/>
    </row>
    <row r="635">
      <c r="B635" s="103"/>
    </row>
    <row r="636">
      <c r="B636" s="103"/>
    </row>
    <row r="637">
      <c r="B637" s="103"/>
    </row>
    <row r="638">
      <c r="B638" s="103"/>
    </row>
    <row r="639">
      <c r="B639" s="103"/>
    </row>
    <row r="640">
      <c r="B640" s="103"/>
    </row>
    <row r="641">
      <c r="B641" s="103"/>
    </row>
    <row r="642">
      <c r="B642" s="103"/>
    </row>
    <row r="643">
      <c r="B643" s="103"/>
    </row>
    <row r="644">
      <c r="B644" s="103"/>
    </row>
    <row r="645">
      <c r="B645" s="103"/>
    </row>
    <row r="646">
      <c r="B646" s="103"/>
    </row>
    <row r="647">
      <c r="B647" s="103"/>
    </row>
    <row r="648">
      <c r="B648" s="103"/>
    </row>
    <row r="649">
      <c r="B649" s="103"/>
    </row>
    <row r="650">
      <c r="B650" s="103"/>
    </row>
    <row r="651">
      <c r="B651" s="103"/>
    </row>
    <row r="652">
      <c r="B652" s="103"/>
    </row>
    <row r="653">
      <c r="B653" s="103"/>
    </row>
    <row r="654">
      <c r="B654" s="103"/>
    </row>
    <row r="655">
      <c r="B655" s="103"/>
    </row>
    <row r="656">
      <c r="B656" s="103"/>
    </row>
    <row r="657">
      <c r="B657" s="103"/>
    </row>
    <row r="658">
      <c r="B658" s="103"/>
    </row>
    <row r="659">
      <c r="B659" s="103"/>
    </row>
    <row r="660">
      <c r="B660" s="103"/>
    </row>
    <row r="661">
      <c r="B661" s="103"/>
    </row>
    <row r="662">
      <c r="B662" s="103"/>
    </row>
    <row r="663">
      <c r="B663" s="103"/>
    </row>
    <row r="664">
      <c r="B664" s="103"/>
    </row>
    <row r="665">
      <c r="B665" s="103"/>
    </row>
    <row r="666">
      <c r="B666" s="103"/>
    </row>
    <row r="667">
      <c r="B667" s="103"/>
    </row>
    <row r="668">
      <c r="B668" s="103"/>
    </row>
    <row r="669">
      <c r="B669" s="103"/>
    </row>
    <row r="670">
      <c r="B670" s="103"/>
    </row>
    <row r="671">
      <c r="B671" s="103"/>
    </row>
    <row r="672">
      <c r="B672" s="103"/>
    </row>
    <row r="673">
      <c r="B673" s="103"/>
    </row>
    <row r="674">
      <c r="B674" s="103"/>
    </row>
    <row r="675">
      <c r="B675" s="103"/>
    </row>
    <row r="676">
      <c r="B676" s="103"/>
    </row>
    <row r="677">
      <c r="B677" s="103"/>
    </row>
    <row r="678">
      <c r="B678" s="103"/>
    </row>
    <row r="679">
      <c r="B679" s="103"/>
    </row>
    <row r="680">
      <c r="B680" s="103"/>
    </row>
    <row r="681">
      <c r="B681" s="103"/>
    </row>
    <row r="682">
      <c r="B682" s="103"/>
    </row>
    <row r="683">
      <c r="B683" s="103"/>
    </row>
    <row r="684">
      <c r="B684" s="103"/>
    </row>
    <row r="685">
      <c r="B685" s="103"/>
    </row>
    <row r="686">
      <c r="B686" s="103"/>
    </row>
    <row r="687">
      <c r="B687" s="103"/>
    </row>
    <row r="688">
      <c r="B688" s="103"/>
    </row>
    <row r="689">
      <c r="B689" s="103"/>
    </row>
    <row r="690">
      <c r="B690" s="103"/>
    </row>
    <row r="691">
      <c r="B691" s="103"/>
    </row>
    <row r="692">
      <c r="B692" s="103"/>
    </row>
    <row r="693">
      <c r="B693" s="103"/>
    </row>
    <row r="694">
      <c r="B694" s="103"/>
    </row>
    <row r="695">
      <c r="B695" s="103"/>
    </row>
    <row r="696">
      <c r="B696" s="103"/>
    </row>
    <row r="697">
      <c r="B697" s="103"/>
    </row>
    <row r="698">
      <c r="B698" s="103"/>
    </row>
    <row r="699">
      <c r="B699" s="103"/>
    </row>
    <row r="700">
      <c r="B700" s="103"/>
    </row>
    <row r="701">
      <c r="B701" s="103"/>
    </row>
    <row r="702">
      <c r="B702" s="103"/>
    </row>
    <row r="703">
      <c r="B703" s="103"/>
    </row>
    <row r="704">
      <c r="B704" s="103"/>
    </row>
    <row r="705">
      <c r="B705" s="103"/>
    </row>
    <row r="706">
      <c r="B706" s="103"/>
    </row>
    <row r="707">
      <c r="B707" s="103"/>
    </row>
    <row r="708">
      <c r="B708" s="103"/>
    </row>
    <row r="709">
      <c r="B709" s="103"/>
    </row>
    <row r="710">
      <c r="B710" s="103"/>
    </row>
    <row r="711">
      <c r="B711" s="103"/>
    </row>
    <row r="712">
      <c r="B712" s="103"/>
    </row>
    <row r="713">
      <c r="B713" s="103"/>
    </row>
    <row r="714">
      <c r="B714" s="103"/>
    </row>
    <row r="715">
      <c r="B715" s="103"/>
    </row>
    <row r="716">
      <c r="B716" s="103"/>
    </row>
    <row r="717">
      <c r="B717" s="103"/>
    </row>
    <row r="718">
      <c r="B718" s="103"/>
    </row>
    <row r="719">
      <c r="B719" s="103"/>
    </row>
    <row r="720">
      <c r="B720" s="103"/>
    </row>
    <row r="721">
      <c r="B721" s="103"/>
    </row>
    <row r="722">
      <c r="B722" s="103"/>
    </row>
    <row r="723">
      <c r="B723" s="103"/>
    </row>
    <row r="724">
      <c r="B724" s="103"/>
    </row>
    <row r="725">
      <c r="B725" s="103"/>
    </row>
    <row r="726">
      <c r="B726" s="103"/>
    </row>
    <row r="727">
      <c r="B727" s="103"/>
    </row>
    <row r="728">
      <c r="B728" s="103"/>
    </row>
    <row r="729">
      <c r="B729" s="103"/>
    </row>
    <row r="730">
      <c r="B730" s="103"/>
    </row>
    <row r="731">
      <c r="B731" s="103"/>
    </row>
    <row r="732">
      <c r="B732" s="103"/>
    </row>
    <row r="733">
      <c r="B733" s="103"/>
    </row>
    <row r="734">
      <c r="B734" s="103"/>
    </row>
    <row r="735">
      <c r="B735" s="103"/>
    </row>
    <row r="736">
      <c r="B736" s="103"/>
    </row>
    <row r="737">
      <c r="B737" s="103"/>
    </row>
    <row r="738">
      <c r="B738" s="103"/>
    </row>
    <row r="739">
      <c r="B739" s="103"/>
    </row>
    <row r="740">
      <c r="B740" s="103"/>
    </row>
    <row r="741">
      <c r="B741" s="103"/>
    </row>
    <row r="742">
      <c r="B742" s="103"/>
    </row>
    <row r="743">
      <c r="B743" s="103"/>
    </row>
    <row r="744">
      <c r="B744" s="103"/>
    </row>
    <row r="745">
      <c r="B745" s="103"/>
    </row>
    <row r="746">
      <c r="B746" s="103"/>
    </row>
    <row r="747">
      <c r="B747" s="103"/>
    </row>
    <row r="748">
      <c r="B748" s="103"/>
    </row>
    <row r="749">
      <c r="B749" s="103"/>
    </row>
    <row r="750">
      <c r="B750" s="103"/>
    </row>
    <row r="751">
      <c r="B751" s="103"/>
    </row>
    <row r="752">
      <c r="B752" s="103"/>
    </row>
    <row r="753">
      <c r="B753" s="103"/>
    </row>
    <row r="754">
      <c r="B754" s="103"/>
    </row>
    <row r="755">
      <c r="B755" s="103"/>
    </row>
    <row r="756">
      <c r="B756" s="103"/>
    </row>
    <row r="757">
      <c r="B757" s="103"/>
    </row>
    <row r="758">
      <c r="B758" s="103"/>
    </row>
    <row r="759">
      <c r="B759" s="103"/>
    </row>
    <row r="760">
      <c r="B760" s="103"/>
    </row>
    <row r="761">
      <c r="B761" s="103"/>
    </row>
    <row r="762">
      <c r="B762" s="103"/>
    </row>
    <row r="763">
      <c r="B763" s="103"/>
    </row>
    <row r="764">
      <c r="B764" s="103"/>
    </row>
    <row r="765">
      <c r="B765" s="103"/>
    </row>
    <row r="766">
      <c r="B766" s="103"/>
    </row>
    <row r="767">
      <c r="B767" s="103"/>
    </row>
    <row r="768">
      <c r="B768" s="103"/>
    </row>
    <row r="769">
      <c r="B769" s="103"/>
    </row>
    <row r="770">
      <c r="B770" s="103"/>
    </row>
    <row r="771">
      <c r="B771" s="103"/>
    </row>
    <row r="772">
      <c r="B772" s="103"/>
    </row>
    <row r="773">
      <c r="B773" s="103"/>
    </row>
    <row r="774">
      <c r="B774" s="103"/>
    </row>
    <row r="775">
      <c r="B775" s="103"/>
    </row>
    <row r="776">
      <c r="B776" s="103"/>
    </row>
    <row r="777">
      <c r="B777" s="103"/>
    </row>
    <row r="778">
      <c r="B778" s="103"/>
    </row>
    <row r="779">
      <c r="B779" s="103"/>
    </row>
    <row r="780">
      <c r="B780" s="103"/>
    </row>
    <row r="781">
      <c r="B781" s="103"/>
    </row>
    <row r="782">
      <c r="B782" s="103"/>
    </row>
    <row r="783">
      <c r="B783" s="103"/>
    </row>
    <row r="784">
      <c r="B784" s="103"/>
    </row>
    <row r="785">
      <c r="B785" s="103"/>
    </row>
    <row r="786">
      <c r="B786" s="103"/>
    </row>
    <row r="787">
      <c r="B787" s="103"/>
    </row>
    <row r="788">
      <c r="B788" s="103"/>
    </row>
    <row r="789">
      <c r="B789" s="103"/>
    </row>
    <row r="790">
      <c r="B790" s="103"/>
    </row>
    <row r="791">
      <c r="B791" s="103"/>
    </row>
    <row r="792">
      <c r="B792" s="103"/>
    </row>
    <row r="793">
      <c r="B793" s="103"/>
    </row>
    <row r="794">
      <c r="B794" s="103"/>
    </row>
    <row r="795">
      <c r="B795" s="103"/>
    </row>
    <row r="796">
      <c r="B796" s="103"/>
    </row>
    <row r="797">
      <c r="B797" s="103"/>
    </row>
    <row r="798">
      <c r="B798" s="103"/>
    </row>
    <row r="799">
      <c r="B799" s="103"/>
    </row>
    <row r="800">
      <c r="B800" s="103"/>
    </row>
    <row r="801">
      <c r="B801" s="103"/>
    </row>
    <row r="802">
      <c r="B802" s="103"/>
    </row>
    <row r="803">
      <c r="B803" s="103"/>
    </row>
    <row r="804">
      <c r="B804" s="103"/>
    </row>
    <row r="805">
      <c r="B805" s="103"/>
    </row>
    <row r="806">
      <c r="B806" s="103"/>
    </row>
    <row r="807">
      <c r="B807" s="103"/>
    </row>
    <row r="808">
      <c r="B808" s="103"/>
    </row>
    <row r="809">
      <c r="B809" s="103"/>
    </row>
    <row r="810">
      <c r="B810" s="103"/>
    </row>
    <row r="811">
      <c r="B811" s="103"/>
    </row>
    <row r="812">
      <c r="B812" s="103"/>
    </row>
    <row r="813">
      <c r="B813" s="103"/>
    </row>
    <row r="814">
      <c r="B814" s="103"/>
    </row>
    <row r="815">
      <c r="B815" s="103"/>
    </row>
    <row r="816">
      <c r="B816" s="103"/>
    </row>
    <row r="817">
      <c r="B817" s="103"/>
    </row>
    <row r="818">
      <c r="B818" s="103"/>
    </row>
    <row r="819">
      <c r="B819" s="103"/>
    </row>
    <row r="820">
      <c r="B820" s="103"/>
    </row>
    <row r="821">
      <c r="B821" s="103"/>
    </row>
    <row r="822">
      <c r="B822" s="103"/>
    </row>
    <row r="823">
      <c r="B823" s="103"/>
    </row>
    <row r="824">
      <c r="B824" s="103"/>
    </row>
    <row r="825">
      <c r="B825" s="103"/>
    </row>
    <row r="826">
      <c r="B826" s="103"/>
    </row>
    <row r="827">
      <c r="B827" s="103"/>
    </row>
    <row r="828">
      <c r="B828" s="103"/>
    </row>
    <row r="829">
      <c r="B829" s="103"/>
    </row>
    <row r="830">
      <c r="B830" s="103"/>
    </row>
    <row r="831">
      <c r="B831" s="103"/>
    </row>
    <row r="832">
      <c r="B832" s="103"/>
    </row>
    <row r="833">
      <c r="B833" s="103"/>
    </row>
    <row r="834">
      <c r="B834" s="103"/>
    </row>
    <row r="835">
      <c r="B835" s="103"/>
    </row>
    <row r="836">
      <c r="B836" s="103"/>
    </row>
    <row r="837">
      <c r="B837" s="103"/>
    </row>
    <row r="838">
      <c r="B838" s="103"/>
    </row>
    <row r="839">
      <c r="B839" s="103"/>
    </row>
    <row r="840">
      <c r="B840" s="103"/>
    </row>
    <row r="841">
      <c r="B841" s="103"/>
    </row>
    <row r="842">
      <c r="B842" s="103"/>
    </row>
    <row r="843">
      <c r="B843" s="103"/>
    </row>
    <row r="844">
      <c r="B844" s="103"/>
    </row>
    <row r="845">
      <c r="B845" s="103"/>
    </row>
    <row r="846">
      <c r="B846" s="103"/>
    </row>
    <row r="847">
      <c r="B847" s="103"/>
    </row>
    <row r="848">
      <c r="B848" s="103"/>
    </row>
    <row r="849">
      <c r="B849" s="103"/>
    </row>
    <row r="850">
      <c r="B850" s="103"/>
    </row>
    <row r="851">
      <c r="B851" s="103"/>
    </row>
    <row r="852">
      <c r="B852" s="103"/>
    </row>
    <row r="853">
      <c r="B853" s="103"/>
    </row>
    <row r="854">
      <c r="B854" s="103"/>
    </row>
    <row r="855">
      <c r="B855" s="103"/>
    </row>
    <row r="856">
      <c r="B856" s="103"/>
    </row>
    <row r="857">
      <c r="B857" s="103"/>
    </row>
    <row r="858">
      <c r="B858" s="103"/>
    </row>
    <row r="859">
      <c r="B859" s="103"/>
    </row>
    <row r="860">
      <c r="B860" s="103"/>
    </row>
    <row r="861">
      <c r="B861" s="103"/>
    </row>
    <row r="862">
      <c r="B862" s="103"/>
    </row>
    <row r="863">
      <c r="B863" s="103"/>
    </row>
    <row r="864">
      <c r="B864" s="103"/>
    </row>
    <row r="865">
      <c r="B865" s="103"/>
    </row>
    <row r="866">
      <c r="B866" s="103"/>
    </row>
    <row r="867">
      <c r="B867" s="103"/>
    </row>
    <row r="868">
      <c r="B868" s="103"/>
    </row>
    <row r="869">
      <c r="B869" s="103"/>
    </row>
    <row r="870">
      <c r="B870" s="103"/>
    </row>
    <row r="871">
      <c r="B871" s="103"/>
    </row>
    <row r="872">
      <c r="B872" s="103"/>
    </row>
    <row r="873">
      <c r="B873" s="103"/>
    </row>
    <row r="874">
      <c r="B874" s="103"/>
    </row>
    <row r="875">
      <c r="B875" s="103"/>
    </row>
    <row r="876">
      <c r="B876" s="103"/>
    </row>
    <row r="877">
      <c r="B877" s="103"/>
    </row>
    <row r="878">
      <c r="B878" s="103"/>
    </row>
    <row r="879">
      <c r="B879" s="103"/>
    </row>
    <row r="880">
      <c r="B880" s="103"/>
    </row>
    <row r="881">
      <c r="B881" s="103"/>
    </row>
    <row r="882">
      <c r="B882" s="103"/>
    </row>
    <row r="883">
      <c r="B883" s="103"/>
    </row>
    <row r="884">
      <c r="B884" s="103"/>
    </row>
    <row r="885">
      <c r="B885" s="103"/>
    </row>
    <row r="886">
      <c r="B886" s="103"/>
    </row>
    <row r="887">
      <c r="B887" s="103"/>
    </row>
    <row r="888">
      <c r="B888" s="103"/>
    </row>
    <row r="889">
      <c r="B889" s="103"/>
    </row>
    <row r="890">
      <c r="B890" s="103"/>
    </row>
    <row r="891">
      <c r="B891" s="103"/>
    </row>
    <row r="892">
      <c r="B892" s="103"/>
    </row>
    <row r="893">
      <c r="B893" s="103"/>
    </row>
    <row r="894">
      <c r="B894" s="103"/>
    </row>
    <row r="895">
      <c r="B895" s="103"/>
    </row>
    <row r="896">
      <c r="B896" s="103"/>
    </row>
    <row r="897">
      <c r="B897" s="103"/>
    </row>
    <row r="898">
      <c r="B898" s="103"/>
    </row>
    <row r="899">
      <c r="B899" s="103"/>
    </row>
    <row r="900">
      <c r="B900" s="103"/>
    </row>
    <row r="901">
      <c r="B901" s="103"/>
    </row>
    <row r="902">
      <c r="B902" s="103"/>
    </row>
    <row r="903">
      <c r="B903" s="103"/>
    </row>
    <row r="904">
      <c r="B904" s="103"/>
    </row>
    <row r="905">
      <c r="B905" s="103"/>
    </row>
    <row r="906">
      <c r="B906" s="103"/>
    </row>
    <row r="907">
      <c r="B907" s="103"/>
    </row>
    <row r="908">
      <c r="B908" s="103"/>
    </row>
    <row r="909">
      <c r="B909" s="103"/>
    </row>
    <row r="910">
      <c r="B910" s="103"/>
    </row>
    <row r="911">
      <c r="B911" s="103"/>
    </row>
    <row r="912">
      <c r="B912" s="103"/>
    </row>
    <row r="913">
      <c r="B913" s="103"/>
    </row>
    <row r="914">
      <c r="B914" s="103"/>
    </row>
    <row r="915">
      <c r="B915" s="103"/>
    </row>
    <row r="916">
      <c r="B916" s="103"/>
    </row>
    <row r="917">
      <c r="B917" s="103"/>
    </row>
    <row r="918">
      <c r="B918" s="103"/>
    </row>
    <row r="919">
      <c r="B919" s="103"/>
    </row>
    <row r="920">
      <c r="B920" s="103"/>
    </row>
    <row r="921">
      <c r="B921" s="103"/>
    </row>
    <row r="922">
      <c r="B922" s="103"/>
    </row>
    <row r="923">
      <c r="B923" s="103"/>
    </row>
    <row r="924">
      <c r="B924" s="103"/>
    </row>
    <row r="925">
      <c r="B925" s="103"/>
    </row>
    <row r="926">
      <c r="B926" s="103"/>
    </row>
    <row r="927">
      <c r="B927" s="103"/>
    </row>
    <row r="928">
      <c r="B928" s="103"/>
    </row>
    <row r="929">
      <c r="B929" s="103"/>
    </row>
    <row r="930">
      <c r="B930" s="103"/>
    </row>
    <row r="931">
      <c r="B931" s="103"/>
    </row>
    <row r="932">
      <c r="B932" s="103"/>
    </row>
    <row r="933">
      <c r="B933" s="103"/>
    </row>
    <row r="934">
      <c r="B934" s="103"/>
    </row>
    <row r="935">
      <c r="B935" s="103"/>
    </row>
    <row r="936">
      <c r="B936" s="103"/>
    </row>
    <row r="937">
      <c r="B937" s="103"/>
    </row>
    <row r="938">
      <c r="B938" s="103"/>
    </row>
    <row r="939">
      <c r="B939" s="103"/>
    </row>
    <row r="940">
      <c r="B940" s="103"/>
    </row>
    <row r="941">
      <c r="B941" s="103"/>
    </row>
    <row r="942">
      <c r="B942" s="103"/>
    </row>
    <row r="943">
      <c r="B943" s="103"/>
    </row>
    <row r="944">
      <c r="B944" s="103"/>
    </row>
    <row r="945">
      <c r="B945" s="103"/>
    </row>
    <row r="946">
      <c r="B946" s="103"/>
    </row>
    <row r="947">
      <c r="B947" s="103"/>
    </row>
    <row r="948">
      <c r="B948" s="103"/>
    </row>
    <row r="949">
      <c r="B949" s="103"/>
    </row>
    <row r="950">
      <c r="B950" s="103"/>
    </row>
    <row r="951">
      <c r="B951" s="103"/>
    </row>
    <row r="952">
      <c r="B952" s="103"/>
    </row>
    <row r="953">
      <c r="B953" s="103"/>
    </row>
    <row r="954">
      <c r="B954" s="103"/>
    </row>
    <row r="955">
      <c r="B955" s="103"/>
    </row>
    <row r="956">
      <c r="B956" s="103"/>
    </row>
    <row r="957">
      <c r="B957" s="103"/>
    </row>
    <row r="958">
      <c r="B958" s="103"/>
    </row>
    <row r="959">
      <c r="B959" s="103"/>
    </row>
    <row r="960">
      <c r="B960" s="103"/>
    </row>
    <row r="961">
      <c r="B961" s="103"/>
    </row>
    <row r="962">
      <c r="B962" s="103"/>
    </row>
    <row r="963">
      <c r="B963" s="103"/>
    </row>
    <row r="964">
      <c r="B964" s="103"/>
    </row>
    <row r="965">
      <c r="B965" s="103"/>
    </row>
    <row r="966">
      <c r="B966" s="103"/>
    </row>
    <row r="967">
      <c r="B967" s="103"/>
    </row>
    <row r="968">
      <c r="B968" s="103"/>
    </row>
    <row r="969">
      <c r="B969" s="103"/>
    </row>
    <row r="970">
      <c r="B970" s="103"/>
    </row>
    <row r="971">
      <c r="B971" s="103"/>
    </row>
    <row r="972">
      <c r="B972" s="103"/>
    </row>
    <row r="973">
      <c r="B973" s="103"/>
    </row>
    <row r="974">
      <c r="B974" s="103"/>
    </row>
    <row r="975">
      <c r="B975" s="103"/>
    </row>
    <row r="976">
      <c r="B976" s="103"/>
    </row>
    <row r="977">
      <c r="B977" s="103"/>
    </row>
    <row r="978">
      <c r="B978" s="103"/>
    </row>
    <row r="979">
      <c r="B979" s="103"/>
    </row>
    <row r="980">
      <c r="B980" s="103"/>
    </row>
    <row r="981">
      <c r="B981" s="103"/>
    </row>
    <row r="982">
      <c r="B982" s="103"/>
    </row>
    <row r="983">
      <c r="B983" s="103"/>
    </row>
    <row r="984">
      <c r="B984" s="103"/>
    </row>
    <row r="985">
      <c r="B985" s="103"/>
    </row>
    <row r="986">
      <c r="B986" s="103"/>
    </row>
    <row r="987">
      <c r="B987" s="103"/>
    </row>
    <row r="988">
      <c r="B988" s="103"/>
    </row>
    <row r="989">
      <c r="B989" s="103"/>
    </row>
    <row r="990">
      <c r="B990" s="103"/>
    </row>
    <row r="991">
      <c r="B991" s="103"/>
    </row>
    <row r="992">
      <c r="B992" s="103"/>
    </row>
    <row r="993">
      <c r="B993" s="103"/>
    </row>
    <row r="994">
      <c r="B994" s="103"/>
    </row>
    <row r="995">
      <c r="B995" s="103"/>
    </row>
    <row r="996">
      <c r="B996" s="103"/>
    </row>
    <row r="997">
      <c r="B997" s="103"/>
    </row>
    <row r="998">
      <c r="B998" s="103"/>
    </row>
    <row r="999">
      <c r="B999" s="103"/>
    </row>
    <row r="1000">
      <c r="B1000" s="103"/>
    </row>
    <row r="1001">
      <c r="B1001" s="103"/>
    </row>
    <row r="1002">
      <c r="B1002" s="103"/>
    </row>
    <row r="1003">
      <c r="B1003" s="103"/>
    </row>
    <row r="1004">
      <c r="B1004" s="103"/>
    </row>
    <row r="1005">
      <c r="B1005" s="103"/>
    </row>
    <row r="1006">
      <c r="B1006" s="103"/>
    </row>
    <row r="1007">
      <c r="B1007" s="103"/>
    </row>
    <row r="1008">
      <c r="B1008" s="103"/>
    </row>
    <row r="1009">
      <c r="B1009" s="103"/>
    </row>
    <row r="1010">
      <c r="B1010" s="103"/>
    </row>
    <row r="1011">
      <c r="B1011" s="103"/>
    </row>
    <row r="1012">
      <c r="B1012" s="103"/>
    </row>
    <row r="1013">
      <c r="B1013" s="103"/>
    </row>
    <row r="1014">
      <c r="B1014" s="103"/>
    </row>
    <row r="1015">
      <c r="B1015" s="103"/>
    </row>
    <row r="1016">
      <c r="B1016" s="103"/>
    </row>
    <row r="1017">
      <c r="B1017" s="103"/>
    </row>
    <row r="1018">
      <c r="B1018" s="103"/>
    </row>
    <row r="1019">
      <c r="B1019" s="103"/>
    </row>
    <row r="1020">
      <c r="B1020" s="103"/>
    </row>
    <row r="1021">
      <c r="B1021" s="103"/>
    </row>
    <row r="1022">
      <c r="B1022" s="103"/>
    </row>
    <row r="1023">
      <c r="B1023" s="103"/>
    </row>
    <row r="1024">
      <c r="B1024" s="103"/>
    </row>
    <row r="1025">
      <c r="B1025" s="103"/>
    </row>
    <row r="1026">
      <c r="B1026" s="103"/>
    </row>
    <row r="1027">
      <c r="B1027" s="103"/>
    </row>
    <row r="1028">
      <c r="B1028" s="103"/>
    </row>
    <row r="1029">
      <c r="B1029" s="103"/>
    </row>
    <row r="1030">
      <c r="B1030" s="103"/>
    </row>
    <row r="1031">
      <c r="B1031" s="103"/>
    </row>
    <row r="1032">
      <c r="B1032" s="103"/>
    </row>
    <row r="1033">
      <c r="B1033" s="103"/>
    </row>
    <row r="1034">
      <c r="B1034" s="103"/>
    </row>
    <row r="1035">
      <c r="B1035" s="103"/>
    </row>
    <row r="1036">
      <c r="B1036" s="103"/>
    </row>
    <row r="1037">
      <c r="B1037" s="103"/>
    </row>
    <row r="1038">
      <c r="B1038" s="103"/>
    </row>
    <row r="1039">
      <c r="B1039" s="103"/>
    </row>
    <row r="1040">
      <c r="B1040" s="103"/>
    </row>
    <row r="1041">
      <c r="B1041" s="103"/>
    </row>
    <row r="1042">
      <c r="B1042" s="103"/>
    </row>
    <row r="1043">
      <c r="B1043" s="103"/>
    </row>
    <row r="1044">
      <c r="B1044" s="103"/>
    </row>
    <row r="1045">
      <c r="B1045" s="103"/>
    </row>
    <row r="1046">
      <c r="B1046" s="103"/>
    </row>
    <row r="1047">
      <c r="B1047" s="103"/>
    </row>
    <row r="1048">
      <c r="B1048" s="103"/>
    </row>
    <row r="1049">
      <c r="B1049" s="103"/>
    </row>
    <row r="1050">
      <c r="B1050" s="103"/>
    </row>
    <row r="1051">
      <c r="B1051" s="103"/>
    </row>
    <row r="1052">
      <c r="B1052" s="103"/>
    </row>
    <row r="1053">
      <c r="B1053" s="103"/>
    </row>
    <row r="1054">
      <c r="B1054" s="103"/>
    </row>
    <row r="1055">
      <c r="B1055" s="103"/>
    </row>
    <row r="1056">
      <c r="B1056" s="103"/>
    </row>
    <row r="1057">
      <c r="B1057" s="103"/>
    </row>
    <row r="1058">
      <c r="B1058" s="103"/>
    </row>
    <row r="1059">
      <c r="B1059" s="103"/>
    </row>
    <row r="1060">
      <c r="B1060" s="103"/>
    </row>
    <row r="1061">
      <c r="B1061" s="103"/>
    </row>
    <row r="1062">
      <c r="B1062" s="103"/>
    </row>
    <row r="1063">
      <c r="B1063" s="103"/>
    </row>
    <row r="1064">
      <c r="B1064" s="103"/>
    </row>
    <row r="1065">
      <c r="B1065" s="103"/>
    </row>
    <row r="1066">
      <c r="B1066" s="103"/>
    </row>
    <row r="1067">
      <c r="B1067" s="103"/>
    </row>
    <row r="1068">
      <c r="B1068" s="103"/>
    </row>
    <row r="1069">
      <c r="B1069" s="103"/>
    </row>
    <row r="1070">
      <c r="B1070" s="103"/>
    </row>
    <row r="1071">
      <c r="B1071" s="103"/>
    </row>
    <row r="1072">
      <c r="B1072" s="103"/>
    </row>
    <row r="1073">
      <c r="B1073" s="103"/>
    </row>
    <row r="1074">
      <c r="B1074" s="103"/>
    </row>
    <row r="1075">
      <c r="B1075" s="103"/>
    </row>
    <row r="1076">
      <c r="B1076" s="103"/>
    </row>
    <row r="1077">
      <c r="B1077" s="103"/>
    </row>
    <row r="1078">
      <c r="B1078" s="103"/>
    </row>
    <row r="1079">
      <c r="B1079" s="103"/>
    </row>
    <row r="1080">
      <c r="B1080" s="103"/>
    </row>
    <row r="1081">
      <c r="B1081" s="103"/>
    </row>
    <row r="1082">
      <c r="B1082" s="103"/>
    </row>
    <row r="1083">
      <c r="B1083" s="103"/>
    </row>
    <row r="1084">
      <c r="B1084" s="103"/>
    </row>
    <row r="1085">
      <c r="B1085" s="103"/>
    </row>
    <row r="1086">
      <c r="B1086" s="103"/>
    </row>
    <row r="1087">
      <c r="B1087" s="103"/>
    </row>
    <row r="1088">
      <c r="B1088" s="103"/>
    </row>
    <row r="1089">
      <c r="B1089" s="103"/>
    </row>
    <row r="1090">
      <c r="B1090" s="103"/>
    </row>
    <row r="1091">
      <c r="B1091" s="103"/>
    </row>
    <row r="1092">
      <c r="B1092" s="103"/>
    </row>
    <row r="1093">
      <c r="B1093" s="103"/>
    </row>
    <row r="1094">
      <c r="B1094" s="103"/>
    </row>
    <row r="1095">
      <c r="B1095" s="103"/>
    </row>
    <row r="1096">
      <c r="B1096" s="103"/>
    </row>
    <row r="1097">
      <c r="B1097" s="103"/>
    </row>
    <row r="1098">
      <c r="B1098" s="103"/>
    </row>
    <row r="1099">
      <c r="B1099" s="103"/>
    </row>
    <row r="1100">
      <c r="B1100" s="103"/>
    </row>
    <row r="1101">
      <c r="B1101" s="103"/>
    </row>
  </sheetData>
  <autoFilter ref="$A$2:$X$78"/>
  <mergeCells count="1">
    <mergeCell ref="D1:E1"/>
  </mergeCells>
  <conditionalFormatting sqref="D3:D77">
    <cfRule type="cellIs" dxfId="0" priority="1" operator="notBetween">
      <formula>"30%"</formula>
      <formula>"55%"</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9.38"/>
    <col customWidth="1" min="2" max="2" width="9.13"/>
    <col customWidth="1" min="3" max="3" width="6.13"/>
    <col customWidth="1" min="4" max="4" width="7.38"/>
    <col customWidth="1" min="5" max="5" width="7.13"/>
    <col customWidth="1" min="6" max="6" width="7.63"/>
    <col customWidth="1" min="7" max="7" width="7.25"/>
    <col customWidth="1" min="8" max="8" width="7.88"/>
    <col customWidth="1" min="9" max="9" width="6.13"/>
    <col customWidth="1" min="10" max="10" width="9.13"/>
    <col customWidth="1" min="11" max="11" width="7.25"/>
    <col customWidth="1" min="12" max="12" width="3.75"/>
    <col customWidth="1" min="13" max="13" width="7.25"/>
    <col customWidth="1" min="14" max="14" width="7.38"/>
    <col customWidth="1" min="15" max="15" width="6.0"/>
    <col customWidth="1" min="16" max="16" width="7.75"/>
    <col customWidth="1" min="17" max="17" width="8.63"/>
    <col customWidth="1" min="18" max="18" width="18.25"/>
    <col customWidth="1" min="19" max="19" width="7.0"/>
    <col customWidth="1" min="20" max="20" width="8.5"/>
    <col customWidth="1" min="21" max="21" width="7.75"/>
    <col customWidth="1" min="22" max="23" width="7.13"/>
    <col customWidth="1" min="24" max="24" width="8.0"/>
    <col customWidth="1" min="25" max="25" width="7.75"/>
  </cols>
  <sheetData>
    <row r="1">
      <c r="A1" s="121"/>
      <c r="B1" s="121"/>
      <c r="C1" s="122"/>
      <c r="D1" s="123"/>
      <c r="F1" s="122"/>
      <c r="G1" s="122"/>
      <c r="H1" s="121"/>
      <c r="I1" s="121"/>
      <c r="J1" s="121"/>
      <c r="K1" s="121"/>
      <c r="L1" s="121"/>
      <c r="M1" s="121"/>
      <c r="N1" s="121"/>
      <c r="O1" s="121"/>
      <c r="P1" s="121"/>
      <c r="Q1" s="124">
        <f>sum(Q3:Q979)</f>
        <v>23955.13</v>
      </c>
      <c r="R1" s="121"/>
      <c r="S1" s="125"/>
      <c r="T1" s="125"/>
      <c r="U1" s="125"/>
      <c r="V1" s="125"/>
      <c r="W1" s="125"/>
      <c r="X1" s="125"/>
    </row>
    <row r="2">
      <c r="A2" s="95" t="s">
        <v>93</v>
      </c>
      <c r="B2" s="95" t="s">
        <v>94</v>
      </c>
      <c r="C2" s="126" t="s">
        <v>105</v>
      </c>
      <c r="D2" s="126" t="s">
        <v>306</v>
      </c>
      <c r="E2" s="127" t="s">
        <v>307</v>
      </c>
      <c r="F2" s="127" t="s">
        <v>197</v>
      </c>
      <c r="G2" s="127" t="s">
        <v>198</v>
      </c>
      <c r="H2" s="95" t="s">
        <v>95</v>
      </c>
      <c r="I2" s="95" t="s">
        <v>96</v>
      </c>
      <c r="J2" s="95" t="s">
        <v>97</v>
      </c>
      <c r="K2" s="95" t="s">
        <v>98</v>
      </c>
      <c r="L2" s="95" t="s">
        <v>32</v>
      </c>
      <c r="M2" s="95" t="s">
        <v>55</v>
      </c>
      <c r="N2" s="95" t="s">
        <v>99</v>
      </c>
      <c r="O2" s="96" t="s">
        <v>100</v>
      </c>
      <c r="P2" s="96" t="s">
        <v>101</v>
      </c>
      <c r="Q2" s="95" t="s">
        <v>102</v>
      </c>
      <c r="R2" s="95" t="s">
        <v>56</v>
      </c>
      <c r="S2" s="128" t="s">
        <v>286</v>
      </c>
      <c r="T2" s="128" t="s">
        <v>308</v>
      </c>
      <c r="U2" s="128" t="s">
        <v>106</v>
      </c>
      <c r="V2" s="128" t="s">
        <v>109</v>
      </c>
      <c r="W2" s="128" t="s">
        <v>107</v>
      </c>
      <c r="X2" s="128" t="s">
        <v>110</v>
      </c>
    </row>
    <row r="3">
      <c r="A3" s="15">
        <v>45666.0</v>
      </c>
      <c r="B3" s="97" t="s">
        <v>54</v>
      </c>
      <c r="C3" s="102">
        <v>0.186</v>
      </c>
      <c r="D3" s="102">
        <v>0.32</v>
      </c>
      <c r="E3" s="102">
        <v>0.29</v>
      </c>
      <c r="F3" s="97" t="s">
        <v>309</v>
      </c>
      <c r="G3" s="16">
        <v>0.1</v>
      </c>
      <c r="H3" s="97" t="s">
        <v>116</v>
      </c>
      <c r="I3" s="97" t="s">
        <v>113</v>
      </c>
      <c r="J3" s="133">
        <v>45709.0</v>
      </c>
      <c r="K3" s="98">
        <v>180.0</v>
      </c>
      <c r="L3" s="16">
        <v>1.0</v>
      </c>
      <c r="M3" s="16">
        <v>311.0</v>
      </c>
      <c r="N3" s="16">
        <v>0.8</v>
      </c>
      <c r="O3" s="34">
        <f t="shared" ref="O3:O7" si="1">M3-N3</f>
        <v>310.2</v>
      </c>
      <c r="Q3" s="145">
        <f t="shared" ref="Q3:Q7" si="2">sum(O3:P3)</f>
        <v>310.2</v>
      </c>
      <c r="R3" s="44" t="s">
        <v>66</v>
      </c>
      <c r="S3" s="53">
        <f t="shared" ref="S3:S7" si="3">Q3/(K3*100*L3)</f>
        <v>0.01723333333</v>
      </c>
      <c r="T3" s="102">
        <v>0.81</v>
      </c>
      <c r="U3" s="102">
        <v>0.77</v>
      </c>
      <c r="V3" s="98">
        <v>17604.0</v>
      </c>
      <c r="W3" s="98" t="s">
        <v>125</v>
      </c>
      <c r="X3" s="153">
        <v>0.02</v>
      </c>
    </row>
    <row r="4">
      <c r="A4" s="15">
        <v>45666.0</v>
      </c>
      <c r="B4" s="97" t="s">
        <v>60</v>
      </c>
      <c r="C4" s="102">
        <v>0.186</v>
      </c>
      <c r="D4" s="102">
        <v>0.246</v>
      </c>
      <c r="E4" s="102">
        <v>0.196</v>
      </c>
      <c r="F4" s="97" t="s">
        <v>309</v>
      </c>
      <c r="G4" s="16">
        <v>0.05</v>
      </c>
      <c r="H4" s="97" t="s">
        <v>116</v>
      </c>
      <c r="I4" s="97" t="s">
        <v>113</v>
      </c>
      <c r="J4" s="133">
        <v>45709.0</v>
      </c>
      <c r="K4" s="98">
        <v>220.0</v>
      </c>
      <c r="L4" s="16">
        <v>1.0</v>
      </c>
      <c r="M4" s="16">
        <v>249.0</v>
      </c>
      <c r="N4" s="16">
        <v>1.05</v>
      </c>
      <c r="O4" s="34">
        <f t="shared" si="1"/>
        <v>247.95</v>
      </c>
      <c r="Q4" s="145">
        <f t="shared" si="2"/>
        <v>247.95</v>
      </c>
      <c r="R4" s="16" t="s">
        <v>288</v>
      </c>
      <c r="S4" s="53">
        <f t="shared" si="3"/>
        <v>0.01127045455</v>
      </c>
      <c r="T4" s="102">
        <v>0.86</v>
      </c>
      <c r="U4" s="102">
        <v>0.82</v>
      </c>
      <c r="V4" s="16">
        <v>21647.0</v>
      </c>
      <c r="W4" s="98" t="s">
        <v>125</v>
      </c>
      <c r="X4" s="153">
        <v>0.01</v>
      </c>
    </row>
    <row r="5">
      <c r="A5" s="20">
        <v>45671.0</v>
      </c>
      <c r="B5" s="97" t="s">
        <v>59</v>
      </c>
      <c r="C5" s="102">
        <v>0.186</v>
      </c>
      <c r="D5" s="102">
        <v>0.55</v>
      </c>
      <c r="E5" s="102">
        <v>0.35</v>
      </c>
      <c r="F5" s="97" t="s">
        <v>309</v>
      </c>
      <c r="G5" s="16">
        <v>0.1</v>
      </c>
      <c r="H5" s="97" t="s">
        <v>116</v>
      </c>
      <c r="I5" s="97" t="s">
        <v>113</v>
      </c>
      <c r="J5" s="133">
        <v>45709.0</v>
      </c>
      <c r="K5" s="98">
        <v>95.0</v>
      </c>
      <c r="L5" s="16">
        <v>1.0</v>
      </c>
      <c r="M5" s="16">
        <v>331.0</v>
      </c>
      <c r="N5" s="16">
        <v>1.08</v>
      </c>
      <c r="O5" s="34">
        <f t="shared" si="1"/>
        <v>329.92</v>
      </c>
      <c r="Q5" s="145">
        <f t="shared" si="2"/>
        <v>329.92</v>
      </c>
      <c r="R5" s="16" t="s">
        <v>288</v>
      </c>
      <c r="S5" s="53">
        <f t="shared" si="3"/>
        <v>0.03472842105</v>
      </c>
      <c r="T5" s="102">
        <v>0.78</v>
      </c>
      <c r="U5" s="102">
        <v>0.72</v>
      </c>
      <c r="V5" s="16">
        <v>9146.0</v>
      </c>
      <c r="W5" s="98" t="s">
        <v>125</v>
      </c>
      <c r="X5" s="153">
        <v>0.03</v>
      </c>
    </row>
    <row r="6">
      <c r="A6" s="15">
        <v>45685.0</v>
      </c>
      <c r="B6" s="97" t="s">
        <v>231</v>
      </c>
      <c r="C6" s="102">
        <v>0.167</v>
      </c>
      <c r="D6" s="102">
        <v>0.216</v>
      </c>
      <c r="E6" s="102">
        <v>0.256</v>
      </c>
      <c r="F6" s="97" t="s">
        <v>310</v>
      </c>
      <c r="G6" s="16">
        <v>0.02</v>
      </c>
      <c r="H6" s="97" t="s">
        <v>116</v>
      </c>
      <c r="I6" s="97" t="s">
        <v>113</v>
      </c>
      <c r="J6" s="133">
        <v>45709.0</v>
      </c>
      <c r="K6" s="98">
        <v>78.0</v>
      </c>
      <c r="L6" s="16">
        <v>1.0</v>
      </c>
      <c r="M6" s="16">
        <v>112.0</v>
      </c>
      <c r="N6" s="16">
        <v>1.05</v>
      </c>
      <c r="O6" s="34">
        <f t="shared" si="1"/>
        <v>110.95</v>
      </c>
      <c r="Q6" s="145">
        <f t="shared" si="2"/>
        <v>110.95</v>
      </c>
      <c r="R6" s="16" t="s">
        <v>288</v>
      </c>
      <c r="S6" s="53">
        <f t="shared" si="3"/>
        <v>0.01422435897</v>
      </c>
      <c r="T6" s="102">
        <v>0.74</v>
      </c>
      <c r="U6" s="102">
        <v>0.65</v>
      </c>
      <c r="V6" s="16">
        <v>7670.0</v>
      </c>
      <c r="W6" s="98" t="s">
        <v>125</v>
      </c>
      <c r="X6" s="153">
        <v>0.01</v>
      </c>
    </row>
    <row r="7">
      <c r="A7" s="15">
        <v>45694.0</v>
      </c>
      <c r="B7" s="97" t="s">
        <v>63</v>
      </c>
      <c r="C7" s="102">
        <v>0.1549</v>
      </c>
      <c r="D7" s="102">
        <v>0.44</v>
      </c>
      <c r="E7" s="102">
        <v>0.67</v>
      </c>
      <c r="F7" s="97" t="s">
        <v>310</v>
      </c>
      <c r="G7" s="16">
        <v>0.02</v>
      </c>
      <c r="H7" s="97" t="s">
        <v>116</v>
      </c>
      <c r="I7" s="97" t="s">
        <v>113</v>
      </c>
      <c r="J7" s="133">
        <v>45709.0</v>
      </c>
      <c r="K7" s="98">
        <v>121.0</v>
      </c>
      <c r="L7" s="16">
        <v>1.0</v>
      </c>
      <c r="M7" s="16">
        <v>196.0</v>
      </c>
      <c r="N7" s="16">
        <v>1.05</v>
      </c>
      <c r="O7" s="34">
        <f t="shared" si="1"/>
        <v>194.95</v>
      </c>
      <c r="Q7" s="145">
        <f t="shared" si="2"/>
        <v>194.95</v>
      </c>
      <c r="R7" s="16" t="s">
        <v>288</v>
      </c>
      <c r="S7" s="53">
        <f t="shared" si="3"/>
        <v>0.01611157025</v>
      </c>
      <c r="T7" s="102">
        <v>0.8</v>
      </c>
      <c r="U7" s="102">
        <v>0.74</v>
      </c>
      <c r="V7" s="16">
        <v>11891.0</v>
      </c>
      <c r="W7" s="98" t="s">
        <v>125</v>
      </c>
      <c r="X7" s="153">
        <v>0.02</v>
      </c>
    </row>
    <row r="8">
      <c r="A8" s="15"/>
      <c r="B8" s="97"/>
      <c r="C8" s="102"/>
      <c r="D8" s="102"/>
      <c r="E8" s="102"/>
      <c r="F8" s="97"/>
      <c r="I8" s="97"/>
      <c r="J8" s="97"/>
      <c r="K8" s="98"/>
      <c r="O8" s="34"/>
      <c r="Q8" s="70"/>
      <c r="S8" s="102"/>
      <c r="T8" s="102"/>
      <c r="U8" s="102"/>
      <c r="V8" s="98"/>
      <c r="W8" s="98"/>
      <c r="X8" s="153"/>
    </row>
    <row r="9">
      <c r="A9" s="15">
        <v>45712.0</v>
      </c>
      <c r="B9" s="97" t="s">
        <v>54</v>
      </c>
      <c r="C9" s="102">
        <v>0.1749</v>
      </c>
      <c r="D9" s="102">
        <v>0.26</v>
      </c>
      <c r="E9" s="102">
        <v>0.36</v>
      </c>
      <c r="F9" s="97" t="s">
        <v>310</v>
      </c>
      <c r="G9" s="16">
        <v>0.03</v>
      </c>
      <c r="H9" s="97" t="s">
        <v>112</v>
      </c>
      <c r="I9" s="97" t="s">
        <v>113</v>
      </c>
      <c r="J9" s="133">
        <v>45737.0</v>
      </c>
      <c r="K9" s="98">
        <v>190.0</v>
      </c>
      <c r="L9" s="16">
        <v>1.0</v>
      </c>
      <c r="M9" s="16">
        <v>177.0</v>
      </c>
      <c r="N9" s="16">
        <v>1.05</v>
      </c>
      <c r="O9" s="34">
        <f t="shared" ref="O9:O16" si="4">M9-N9</f>
        <v>175.95</v>
      </c>
      <c r="Q9" s="145">
        <f t="shared" ref="Q9:Q16" si="5">sum(O9:P9)</f>
        <v>175.95</v>
      </c>
      <c r="R9" s="16" t="s">
        <v>288</v>
      </c>
      <c r="S9" s="53">
        <f t="shared" ref="S9:S16" si="6">Q9/(K9*100*L9)</f>
        <v>0.009260526316</v>
      </c>
      <c r="T9" s="102">
        <v>0.8</v>
      </c>
      <c r="U9" s="102">
        <v>0.76</v>
      </c>
      <c r="W9" s="98"/>
      <c r="X9" s="153"/>
    </row>
    <row r="10">
      <c r="A10" s="15">
        <v>45712.0</v>
      </c>
      <c r="B10" s="97" t="s">
        <v>60</v>
      </c>
      <c r="C10" s="102">
        <v>0.1749</v>
      </c>
      <c r="D10" s="102">
        <v>0.22</v>
      </c>
      <c r="E10" s="102">
        <v>0.3</v>
      </c>
      <c r="F10" s="97" t="s">
        <v>310</v>
      </c>
      <c r="G10" s="16">
        <v>0.03</v>
      </c>
      <c r="H10" s="97" t="s">
        <v>116</v>
      </c>
      <c r="I10" s="97" t="s">
        <v>113</v>
      </c>
      <c r="J10" s="133">
        <v>45737.0</v>
      </c>
      <c r="K10" s="98">
        <v>237.5</v>
      </c>
      <c r="L10" s="16">
        <v>1.0</v>
      </c>
      <c r="M10" s="16">
        <v>218.0</v>
      </c>
      <c r="N10" s="16">
        <v>1.06</v>
      </c>
      <c r="O10" s="34">
        <f t="shared" si="4"/>
        <v>216.94</v>
      </c>
      <c r="Q10" s="145">
        <f t="shared" si="5"/>
        <v>216.94</v>
      </c>
      <c r="R10" s="44" t="s">
        <v>66</v>
      </c>
      <c r="S10" s="53">
        <f t="shared" si="6"/>
        <v>0.009134315789</v>
      </c>
      <c r="T10" s="102">
        <v>0.84</v>
      </c>
      <c r="U10" s="102">
        <v>0.8</v>
      </c>
      <c r="V10" s="98">
        <v>23466.0</v>
      </c>
      <c r="W10" s="98" t="s">
        <v>125</v>
      </c>
      <c r="X10" s="153">
        <v>0.01</v>
      </c>
    </row>
    <row r="11">
      <c r="A11" s="15">
        <v>45712.0</v>
      </c>
      <c r="B11" s="97" t="s">
        <v>59</v>
      </c>
      <c r="C11" s="102">
        <v>0.1749</v>
      </c>
      <c r="D11" s="102">
        <v>0.39</v>
      </c>
      <c r="E11" s="102">
        <v>0.77</v>
      </c>
      <c r="F11" s="97" t="s">
        <v>310</v>
      </c>
      <c r="G11" s="16">
        <v>0.15</v>
      </c>
      <c r="H11" s="97" t="s">
        <v>116</v>
      </c>
      <c r="I11" s="97" t="s">
        <v>113</v>
      </c>
      <c r="J11" s="133">
        <v>45737.0</v>
      </c>
      <c r="K11" s="98">
        <v>100.0</v>
      </c>
      <c r="L11" s="16">
        <v>1.0</v>
      </c>
      <c r="M11" s="16">
        <v>214.0</v>
      </c>
      <c r="N11" s="16">
        <v>1.06</v>
      </c>
      <c r="O11" s="34">
        <f t="shared" si="4"/>
        <v>212.94</v>
      </c>
      <c r="Q11" s="145">
        <f t="shared" si="5"/>
        <v>212.94</v>
      </c>
      <c r="R11" s="16" t="s">
        <v>288</v>
      </c>
      <c r="S11" s="53">
        <f t="shared" si="6"/>
        <v>0.021294</v>
      </c>
      <c r="T11" s="102">
        <v>0.78</v>
      </c>
      <c r="U11" s="102">
        <v>0.72</v>
      </c>
      <c r="V11" s="98">
        <v>9785.0</v>
      </c>
      <c r="W11" s="98" t="s">
        <v>125</v>
      </c>
      <c r="X11" s="153">
        <v>0.02</v>
      </c>
    </row>
    <row r="12">
      <c r="A12" s="15">
        <v>45712.0</v>
      </c>
      <c r="B12" s="97" t="s">
        <v>59</v>
      </c>
      <c r="C12" s="102">
        <v>0.1749</v>
      </c>
      <c r="D12" s="102">
        <v>0.39</v>
      </c>
      <c r="E12" s="102">
        <v>0.77</v>
      </c>
      <c r="F12" s="97" t="s">
        <v>310</v>
      </c>
      <c r="H12" s="97" t="s">
        <v>112</v>
      </c>
      <c r="I12" s="97" t="s">
        <v>113</v>
      </c>
      <c r="J12" s="133">
        <v>45737.0</v>
      </c>
      <c r="K12" s="98">
        <v>115.0</v>
      </c>
      <c r="L12" s="16">
        <v>1.0</v>
      </c>
      <c r="M12" s="16">
        <v>121.0</v>
      </c>
      <c r="N12" s="16">
        <v>0.26</v>
      </c>
      <c r="O12" s="34">
        <f t="shared" si="4"/>
        <v>120.74</v>
      </c>
      <c r="Q12" s="145">
        <f t="shared" si="5"/>
        <v>120.74</v>
      </c>
      <c r="R12" s="16" t="s">
        <v>288</v>
      </c>
      <c r="S12" s="53">
        <f t="shared" si="6"/>
        <v>0.01049913043</v>
      </c>
      <c r="T12" s="102">
        <v>0.81</v>
      </c>
      <c r="U12" s="102">
        <v>0.78</v>
      </c>
      <c r="V12" s="98"/>
      <c r="W12" s="98"/>
      <c r="X12" s="153"/>
    </row>
    <row r="13">
      <c r="A13" s="15">
        <v>45712.0</v>
      </c>
      <c r="B13" s="97" t="s">
        <v>63</v>
      </c>
      <c r="C13" s="102">
        <v>0.1749</v>
      </c>
      <c r="D13" s="102">
        <v>0.64</v>
      </c>
      <c r="E13" s="102">
        <v>0.67</v>
      </c>
      <c r="F13" s="97" t="s">
        <v>310</v>
      </c>
      <c r="G13" s="16">
        <v>0.1</v>
      </c>
      <c r="H13" s="97" t="s">
        <v>116</v>
      </c>
      <c r="I13" s="97" t="s">
        <v>113</v>
      </c>
      <c r="J13" s="133">
        <v>45737.0</v>
      </c>
      <c r="K13" s="98">
        <v>120.0</v>
      </c>
      <c r="L13" s="16">
        <v>1.0</v>
      </c>
      <c r="M13" s="16">
        <v>339.0</v>
      </c>
      <c r="N13" s="16">
        <v>0.81</v>
      </c>
      <c r="O13" s="34">
        <f t="shared" si="4"/>
        <v>338.19</v>
      </c>
      <c r="Q13" s="145">
        <f t="shared" si="5"/>
        <v>338.19</v>
      </c>
      <c r="R13" s="44" t="s">
        <v>66</v>
      </c>
      <c r="S13" s="53">
        <f t="shared" si="6"/>
        <v>0.0281825</v>
      </c>
      <c r="T13" s="102"/>
      <c r="U13" s="102"/>
      <c r="W13" s="98"/>
      <c r="X13" s="52"/>
    </row>
    <row r="14">
      <c r="A14" s="15">
        <v>45712.0</v>
      </c>
      <c r="B14" s="97" t="s">
        <v>311</v>
      </c>
      <c r="C14" s="102">
        <v>0.1749</v>
      </c>
      <c r="D14" s="102">
        <v>0.4</v>
      </c>
      <c r="E14" s="102">
        <v>0.56</v>
      </c>
      <c r="F14" s="97" t="s">
        <v>309</v>
      </c>
      <c r="G14" s="16">
        <v>0.03</v>
      </c>
      <c r="H14" s="97" t="s">
        <v>116</v>
      </c>
      <c r="I14" s="97" t="s">
        <v>113</v>
      </c>
      <c r="J14" s="133">
        <v>45737.0</v>
      </c>
      <c r="K14" s="98">
        <v>36.0</v>
      </c>
      <c r="L14" s="16">
        <v>1.0</v>
      </c>
      <c r="M14" s="16">
        <v>112.0</v>
      </c>
      <c r="N14" s="16">
        <v>1.05</v>
      </c>
      <c r="O14" s="34">
        <f t="shared" si="4"/>
        <v>110.95</v>
      </c>
      <c r="Q14" s="145">
        <f t="shared" si="5"/>
        <v>110.95</v>
      </c>
      <c r="R14" s="16" t="s">
        <v>288</v>
      </c>
      <c r="S14" s="53">
        <f t="shared" si="6"/>
        <v>0.03081944444</v>
      </c>
      <c r="T14" s="102">
        <v>0.76</v>
      </c>
      <c r="U14" s="102">
        <v>0.7</v>
      </c>
      <c r="V14" s="16">
        <v>3477.0</v>
      </c>
      <c r="W14" s="98" t="s">
        <v>125</v>
      </c>
      <c r="X14" s="53">
        <v>0.03</v>
      </c>
    </row>
    <row r="15">
      <c r="A15" s="15">
        <v>45712.0</v>
      </c>
      <c r="B15" s="97" t="s">
        <v>61</v>
      </c>
      <c r="C15" s="102">
        <v>0.1749</v>
      </c>
      <c r="D15" s="102">
        <v>0.38</v>
      </c>
      <c r="E15" s="102">
        <v>0.54</v>
      </c>
      <c r="F15" s="97" t="s">
        <v>310</v>
      </c>
      <c r="G15" s="16">
        <v>0.2</v>
      </c>
      <c r="H15" s="97" t="s">
        <v>116</v>
      </c>
      <c r="I15" s="97" t="s">
        <v>113</v>
      </c>
      <c r="J15" s="133">
        <v>45737.0</v>
      </c>
      <c r="K15" s="98">
        <v>220.0</v>
      </c>
      <c r="L15" s="16">
        <v>1.0</v>
      </c>
      <c r="M15" s="16">
        <v>281.0</v>
      </c>
      <c r="N15" s="16">
        <v>0.02</v>
      </c>
      <c r="O15" s="34">
        <f t="shared" si="4"/>
        <v>280.98</v>
      </c>
      <c r="Q15" s="145">
        <f t="shared" si="5"/>
        <v>280.98</v>
      </c>
      <c r="R15" s="44" t="s">
        <v>66</v>
      </c>
      <c r="S15" s="53">
        <f t="shared" si="6"/>
        <v>0.01277181818</v>
      </c>
      <c r="T15" s="102">
        <v>0.84</v>
      </c>
      <c r="U15" s="102">
        <v>0.81</v>
      </c>
      <c r="V15" s="16">
        <v>21664.0</v>
      </c>
      <c r="W15" s="98" t="s">
        <v>125</v>
      </c>
      <c r="X15" s="53">
        <v>0.01</v>
      </c>
    </row>
    <row r="16">
      <c r="A16" s="15">
        <v>45712.0</v>
      </c>
      <c r="B16" s="97" t="s">
        <v>58</v>
      </c>
      <c r="C16" s="102">
        <v>0.1749</v>
      </c>
      <c r="D16" s="102">
        <v>1.04</v>
      </c>
      <c r="E16" s="102">
        <v>0.79</v>
      </c>
      <c r="F16" s="97" t="s">
        <v>310</v>
      </c>
      <c r="G16" s="16">
        <v>0.1</v>
      </c>
      <c r="H16" s="97" t="s">
        <v>116</v>
      </c>
      <c r="I16" s="97" t="s">
        <v>113</v>
      </c>
      <c r="J16" s="133">
        <v>45737.0</v>
      </c>
      <c r="K16" s="16">
        <v>17.5</v>
      </c>
      <c r="L16" s="16">
        <v>4.0</v>
      </c>
      <c r="M16" s="16">
        <v>384.0</v>
      </c>
      <c r="N16" s="16">
        <v>1.36</v>
      </c>
      <c r="O16" s="34">
        <f t="shared" si="4"/>
        <v>382.64</v>
      </c>
      <c r="Q16" s="145">
        <f t="shared" si="5"/>
        <v>382.64</v>
      </c>
      <c r="R16" s="44" t="s">
        <v>66</v>
      </c>
      <c r="S16" s="53">
        <f t="shared" si="6"/>
        <v>0.05466285714</v>
      </c>
      <c r="T16" s="102">
        <v>0.74</v>
      </c>
      <c r="U16" s="102">
        <v>0.66</v>
      </c>
      <c r="V16" s="16">
        <v>6541.0</v>
      </c>
      <c r="W16" s="98" t="s">
        <v>125</v>
      </c>
      <c r="X16" s="53">
        <v>0.06</v>
      </c>
    </row>
    <row r="17">
      <c r="X17" s="52"/>
    </row>
    <row r="18">
      <c r="A18" s="15">
        <v>45733.0</v>
      </c>
      <c r="B18" s="97" t="s">
        <v>60</v>
      </c>
      <c r="C18" s="102">
        <v>0.2</v>
      </c>
      <c r="D18" s="102">
        <v>0.28</v>
      </c>
      <c r="E18" s="102">
        <v>0.295</v>
      </c>
      <c r="F18" s="97" t="s">
        <v>310</v>
      </c>
      <c r="G18" s="16">
        <v>0.05</v>
      </c>
      <c r="H18" s="97" t="s">
        <v>112</v>
      </c>
      <c r="I18" s="97" t="s">
        <v>113</v>
      </c>
      <c r="J18" s="133">
        <v>45764.0</v>
      </c>
      <c r="K18" s="98">
        <v>225.0</v>
      </c>
      <c r="L18" s="16">
        <v>1.0</v>
      </c>
      <c r="M18" s="16">
        <v>306.0</v>
      </c>
      <c r="N18" s="16">
        <v>0.81</v>
      </c>
      <c r="O18" s="34">
        <f t="shared" ref="O18:O23" si="7">M18-N18</f>
        <v>305.19</v>
      </c>
      <c r="Q18" s="145">
        <f t="shared" ref="Q18:Q23" si="8">sum(O18:P18)</f>
        <v>305.19</v>
      </c>
      <c r="R18" s="16" t="s">
        <v>288</v>
      </c>
      <c r="S18" s="53">
        <f t="shared" ref="S18:S23" si="9">Q18/(K18*100*L18)</f>
        <v>0.013564</v>
      </c>
      <c r="T18" s="102">
        <v>0.75</v>
      </c>
      <c r="U18" s="102">
        <v>0.7</v>
      </c>
      <c r="W18" s="98" t="s">
        <v>125</v>
      </c>
      <c r="X18" s="52"/>
    </row>
    <row r="19">
      <c r="A19" s="15">
        <v>45743.0</v>
      </c>
      <c r="B19" s="97" t="s">
        <v>61</v>
      </c>
      <c r="C19" s="102">
        <v>0.19</v>
      </c>
      <c r="D19" s="102">
        <v>0.43</v>
      </c>
      <c r="E19" s="102">
        <v>0.63</v>
      </c>
      <c r="F19" s="97" t="s">
        <v>310</v>
      </c>
      <c r="H19" s="97" t="s">
        <v>112</v>
      </c>
      <c r="I19" s="97" t="s">
        <v>113</v>
      </c>
      <c r="J19" s="133">
        <v>45764.0</v>
      </c>
      <c r="K19" s="98">
        <v>240.0</v>
      </c>
      <c r="L19" s="16">
        <v>1.0</v>
      </c>
      <c r="M19" s="16">
        <v>576.0</v>
      </c>
      <c r="N19" s="16">
        <v>1.08</v>
      </c>
      <c r="O19" s="34">
        <f t="shared" si="7"/>
        <v>574.92</v>
      </c>
      <c r="Q19" s="145">
        <f t="shared" si="8"/>
        <v>574.92</v>
      </c>
      <c r="R19" s="16" t="s">
        <v>288</v>
      </c>
      <c r="S19" s="53">
        <f t="shared" si="9"/>
        <v>0.023955</v>
      </c>
      <c r="T19" s="102">
        <v>0.73</v>
      </c>
      <c r="U19" s="102">
        <v>0.66</v>
      </c>
      <c r="W19" s="98" t="s">
        <v>125</v>
      </c>
      <c r="X19" s="52"/>
    </row>
    <row r="20">
      <c r="A20" s="15">
        <v>45743.0</v>
      </c>
      <c r="B20" s="97" t="s">
        <v>54</v>
      </c>
      <c r="C20" s="102">
        <v>0.19</v>
      </c>
      <c r="D20" s="102">
        <v>0.28</v>
      </c>
      <c r="E20" s="102">
        <v>0.3</v>
      </c>
      <c r="F20" s="97" t="s">
        <v>310</v>
      </c>
      <c r="H20" s="97" t="s">
        <v>112</v>
      </c>
      <c r="I20" s="97" t="s">
        <v>113</v>
      </c>
      <c r="J20" s="133">
        <v>45764.0</v>
      </c>
      <c r="K20" s="98">
        <v>172.5</v>
      </c>
      <c r="L20" s="16">
        <v>1.0</v>
      </c>
      <c r="M20" s="16">
        <v>119.0</v>
      </c>
      <c r="N20" s="16">
        <v>1.05</v>
      </c>
      <c r="O20" s="34">
        <f t="shared" si="7"/>
        <v>117.95</v>
      </c>
      <c r="Q20" s="145">
        <f t="shared" si="8"/>
        <v>117.95</v>
      </c>
      <c r="R20" s="16" t="s">
        <v>288</v>
      </c>
      <c r="S20" s="53">
        <f t="shared" si="9"/>
        <v>0.006837681159</v>
      </c>
      <c r="T20" s="102">
        <v>0.83</v>
      </c>
      <c r="U20" s="102">
        <v>0.8</v>
      </c>
      <c r="W20" s="98" t="s">
        <v>125</v>
      </c>
      <c r="X20" s="52"/>
    </row>
    <row r="21">
      <c r="A21" s="15">
        <v>45747.0</v>
      </c>
      <c r="B21" s="97" t="s">
        <v>77</v>
      </c>
      <c r="C21" s="102">
        <v>0.22</v>
      </c>
      <c r="D21" s="102">
        <v>0.33</v>
      </c>
      <c r="E21" s="102">
        <v>0.35</v>
      </c>
      <c r="F21" s="97" t="s">
        <v>310</v>
      </c>
      <c r="G21" s="16">
        <v>0.04</v>
      </c>
      <c r="H21" s="97" t="s">
        <v>116</v>
      </c>
      <c r="I21" s="97" t="s">
        <v>113</v>
      </c>
      <c r="J21" s="133">
        <v>45764.0</v>
      </c>
      <c r="K21" s="98">
        <v>48.0</v>
      </c>
      <c r="L21" s="16">
        <v>1.0</v>
      </c>
      <c r="M21" s="16">
        <v>130.0</v>
      </c>
      <c r="N21" s="16">
        <v>1.05</v>
      </c>
      <c r="O21" s="34">
        <f t="shared" si="7"/>
        <v>128.95</v>
      </c>
      <c r="Q21" s="145">
        <f t="shared" si="8"/>
        <v>128.95</v>
      </c>
      <c r="R21" s="16" t="s">
        <v>288</v>
      </c>
      <c r="S21" s="53">
        <f t="shared" si="9"/>
        <v>0.02686458333</v>
      </c>
      <c r="T21" s="102">
        <v>0.68</v>
      </c>
      <c r="U21" s="102">
        <v>0.56</v>
      </c>
      <c r="W21" s="98" t="s">
        <v>125</v>
      </c>
      <c r="X21" s="52"/>
    </row>
    <row r="22">
      <c r="A22" s="15">
        <v>45747.0</v>
      </c>
      <c r="B22" s="97" t="s">
        <v>63</v>
      </c>
      <c r="C22" s="102">
        <v>0.22</v>
      </c>
      <c r="D22" s="102">
        <v>0.49</v>
      </c>
      <c r="E22" s="102">
        <v>0.55</v>
      </c>
      <c r="F22" s="97" t="s">
        <v>310</v>
      </c>
      <c r="G22" s="16">
        <v>0.02</v>
      </c>
      <c r="H22" s="97" t="s">
        <v>112</v>
      </c>
      <c r="I22" s="97" t="s">
        <v>113</v>
      </c>
      <c r="J22" s="133">
        <v>45764.0</v>
      </c>
      <c r="K22" s="98">
        <v>117.0</v>
      </c>
      <c r="L22" s="16">
        <v>1.0</v>
      </c>
      <c r="M22" s="16">
        <v>109.0</v>
      </c>
      <c r="N22" s="16">
        <v>1.05</v>
      </c>
      <c r="O22" s="34">
        <f t="shared" si="7"/>
        <v>107.95</v>
      </c>
      <c r="Q22" s="145">
        <f t="shared" si="8"/>
        <v>107.95</v>
      </c>
      <c r="R22" s="16" t="s">
        <v>288</v>
      </c>
      <c r="S22" s="53">
        <f t="shared" si="9"/>
        <v>0.009226495726</v>
      </c>
      <c r="T22" s="102">
        <v>0.8</v>
      </c>
      <c r="U22" s="102">
        <v>0.76</v>
      </c>
      <c r="V22" s="98"/>
      <c r="W22" s="98" t="s">
        <v>125</v>
      </c>
      <c r="X22" s="153"/>
    </row>
    <row r="23">
      <c r="A23" s="15">
        <v>45748.0</v>
      </c>
      <c r="B23" s="97" t="s">
        <v>62</v>
      </c>
      <c r="C23" s="102">
        <v>0.23</v>
      </c>
      <c r="D23" s="102">
        <v>1.03</v>
      </c>
      <c r="E23" s="102">
        <v>1.07</v>
      </c>
      <c r="F23" s="97" t="s">
        <v>309</v>
      </c>
      <c r="G23" s="16">
        <v>0.1</v>
      </c>
      <c r="H23" s="97" t="s">
        <v>116</v>
      </c>
      <c r="I23" s="97" t="s">
        <v>113</v>
      </c>
      <c r="J23" s="133">
        <v>45764.0</v>
      </c>
      <c r="K23" s="98">
        <v>7.5</v>
      </c>
      <c r="L23" s="16">
        <v>4.0</v>
      </c>
      <c r="M23" s="16">
        <f>196+224</f>
        <v>420</v>
      </c>
      <c r="N23" s="16">
        <f>1.35+6</f>
        <v>7.35</v>
      </c>
      <c r="O23" s="34">
        <f t="shared" si="7"/>
        <v>412.65</v>
      </c>
      <c r="Q23" s="145">
        <f t="shared" si="8"/>
        <v>412.65</v>
      </c>
      <c r="R23" s="44" t="s">
        <v>312</v>
      </c>
      <c r="S23" s="53">
        <f t="shared" si="9"/>
        <v>0.13755</v>
      </c>
      <c r="T23" s="102">
        <v>0.65</v>
      </c>
      <c r="U23" s="102">
        <v>0.49</v>
      </c>
      <c r="W23" s="98" t="s">
        <v>125</v>
      </c>
      <c r="X23" s="53">
        <v>0.09</v>
      </c>
    </row>
    <row r="24">
      <c r="A24" s="15"/>
      <c r="C24" s="102"/>
      <c r="D24" s="102"/>
      <c r="E24" s="154"/>
      <c r="F24" s="97"/>
      <c r="I24" s="97"/>
      <c r="K24" s="98"/>
      <c r="O24" s="34"/>
      <c r="Q24" s="70"/>
      <c r="S24" s="102"/>
      <c r="T24" s="102"/>
      <c r="U24" s="102"/>
      <c r="W24" s="98"/>
      <c r="X24" s="52"/>
    </row>
    <row r="25">
      <c r="A25" s="15">
        <v>45747.0</v>
      </c>
      <c r="B25" s="97" t="s">
        <v>59</v>
      </c>
      <c r="C25" s="102">
        <v>0.22</v>
      </c>
      <c r="D25" s="102">
        <v>0.45</v>
      </c>
      <c r="E25" s="102">
        <v>0.47</v>
      </c>
      <c r="F25" s="97" t="s">
        <v>310</v>
      </c>
      <c r="G25" s="16">
        <v>0.2</v>
      </c>
      <c r="H25" s="97" t="s">
        <v>112</v>
      </c>
      <c r="I25" s="97" t="s">
        <v>113</v>
      </c>
      <c r="J25" s="15">
        <v>45793.0</v>
      </c>
      <c r="K25" s="98">
        <v>120.0</v>
      </c>
      <c r="L25" s="16">
        <v>1.0</v>
      </c>
      <c r="M25" s="16">
        <v>219.0</v>
      </c>
      <c r="N25" s="16">
        <f>0.27+4.63</f>
        <v>4.9</v>
      </c>
      <c r="O25" s="34">
        <f t="shared" ref="O25:O30" si="10">M25-N25</f>
        <v>214.1</v>
      </c>
      <c r="Q25" s="145">
        <f t="shared" ref="Q25:Q30" si="11">sum(O25:P25)</f>
        <v>214.1</v>
      </c>
      <c r="R25" s="74" t="s">
        <v>313</v>
      </c>
      <c r="S25" s="53">
        <f t="shared" ref="S25:S28" si="12">Q25/(K25*100*L25)</f>
        <v>0.01784166667</v>
      </c>
      <c r="T25" s="102">
        <v>0.73</v>
      </c>
      <c r="U25" s="102">
        <v>0.66</v>
      </c>
      <c r="W25" s="98" t="s">
        <v>125</v>
      </c>
      <c r="X25" s="52"/>
    </row>
    <row r="26">
      <c r="A26" s="15">
        <v>45754.0</v>
      </c>
      <c r="B26" s="97" t="s">
        <v>59</v>
      </c>
      <c r="C26" s="102">
        <v>0.51</v>
      </c>
      <c r="D26" s="102">
        <v>0.8</v>
      </c>
      <c r="E26" s="102">
        <v>0.66</v>
      </c>
      <c r="F26" s="97" t="s">
        <v>309</v>
      </c>
      <c r="G26" s="16">
        <v>0.8</v>
      </c>
      <c r="H26" s="97" t="s">
        <v>116</v>
      </c>
      <c r="I26" s="97" t="s">
        <v>113</v>
      </c>
      <c r="J26" s="15">
        <v>45793.0</v>
      </c>
      <c r="K26" s="98">
        <v>70.0</v>
      </c>
      <c r="L26" s="16">
        <v>1.0</v>
      </c>
      <c r="M26" s="16">
        <v>228.0</v>
      </c>
      <c r="N26" s="16">
        <v>1.07</v>
      </c>
      <c r="O26" s="34">
        <f t="shared" si="10"/>
        <v>226.93</v>
      </c>
      <c r="Q26" s="145">
        <f t="shared" si="11"/>
        <v>226.93</v>
      </c>
      <c r="R26" s="16" t="s">
        <v>314</v>
      </c>
      <c r="S26" s="53">
        <f t="shared" si="12"/>
        <v>0.03241857143</v>
      </c>
      <c r="T26" s="102">
        <v>0.91</v>
      </c>
      <c r="U26" s="102">
        <v>0.89</v>
      </c>
      <c r="X26" s="53">
        <v>0.03</v>
      </c>
    </row>
    <row r="27">
      <c r="A27" s="15">
        <v>45754.0</v>
      </c>
      <c r="B27" s="97" t="s">
        <v>54</v>
      </c>
      <c r="C27" s="102">
        <v>0.51</v>
      </c>
      <c r="D27" s="102">
        <v>0.5</v>
      </c>
      <c r="E27" s="102">
        <v>0.35</v>
      </c>
      <c r="F27" s="97" t="s">
        <v>309</v>
      </c>
      <c r="G27" s="16">
        <v>0.09</v>
      </c>
      <c r="H27" s="97" t="s">
        <v>116</v>
      </c>
      <c r="I27" s="97" t="s">
        <v>113</v>
      </c>
      <c r="J27" s="15">
        <v>45793.0</v>
      </c>
      <c r="K27" s="98">
        <v>130.0</v>
      </c>
      <c r="L27" s="16">
        <v>1.0</v>
      </c>
      <c r="M27" s="16">
        <f>258+81.58</f>
        <v>339.58</v>
      </c>
      <c r="N27" s="16">
        <v>1.06</v>
      </c>
      <c r="O27" s="34">
        <f t="shared" si="10"/>
        <v>338.52</v>
      </c>
      <c r="Q27" s="145">
        <f t="shared" si="11"/>
        <v>338.52</v>
      </c>
      <c r="R27" s="16" t="s">
        <v>315</v>
      </c>
      <c r="S27" s="53">
        <f t="shared" si="12"/>
        <v>0.02604</v>
      </c>
      <c r="T27" s="102">
        <v>0.91</v>
      </c>
      <c r="U27" s="102">
        <v>0.89</v>
      </c>
      <c r="W27" s="98"/>
      <c r="X27" s="53">
        <v>0.02</v>
      </c>
    </row>
    <row r="28">
      <c r="A28" s="15">
        <v>45754.0</v>
      </c>
      <c r="B28" s="97" t="s">
        <v>63</v>
      </c>
      <c r="C28" s="102">
        <v>0.51</v>
      </c>
      <c r="D28" s="102">
        <v>0.67</v>
      </c>
      <c r="E28" s="102">
        <v>0.62</v>
      </c>
      <c r="F28" s="97" t="s">
        <v>310</v>
      </c>
      <c r="G28" s="16">
        <v>0.04</v>
      </c>
      <c r="H28" s="97" t="s">
        <v>116</v>
      </c>
      <c r="I28" s="97" t="s">
        <v>113</v>
      </c>
      <c r="J28" s="15">
        <v>45793.0</v>
      </c>
      <c r="K28" s="98">
        <v>85.0</v>
      </c>
      <c r="L28" s="16">
        <v>1.0</v>
      </c>
      <c r="M28" s="16">
        <f>170+111</f>
        <v>281</v>
      </c>
      <c r="N28" s="16">
        <v>0.71</v>
      </c>
      <c r="O28" s="34">
        <f t="shared" si="10"/>
        <v>280.29</v>
      </c>
      <c r="Q28" s="145">
        <f t="shared" si="11"/>
        <v>280.29</v>
      </c>
      <c r="R28" s="16" t="s">
        <v>316</v>
      </c>
      <c r="S28" s="53">
        <f t="shared" si="12"/>
        <v>0.03297529412</v>
      </c>
      <c r="T28" s="102">
        <v>0.95</v>
      </c>
      <c r="U28" s="102">
        <v>0.93</v>
      </c>
      <c r="W28" s="98"/>
      <c r="X28" s="53">
        <v>0.02</v>
      </c>
    </row>
    <row r="29">
      <c r="A29" s="15">
        <v>45737.0</v>
      </c>
      <c r="B29" s="97" t="s">
        <v>47</v>
      </c>
      <c r="C29" s="102"/>
      <c r="D29" s="102"/>
      <c r="E29" s="154"/>
      <c r="F29" s="97" t="s">
        <v>309</v>
      </c>
      <c r="H29" s="16" t="s">
        <v>317</v>
      </c>
      <c r="I29" s="97" t="s">
        <v>135</v>
      </c>
      <c r="J29" s="15">
        <v>45793.0</v>
      </c>
      <c r="K29" s="98" t="s">
        <v>318</v>
      </c>
      <c r="L29" s="16">
        <v>1.0</v>
      </c>
      <c r="N29" s="16">
        <v>0.62</v>
      </c>
      <c r="O29" s="34">
        <f t="shared" si="10"/>
        <v>-0.62</v>
      </c>
      <c r="P29" s="16">
        <v>-9.0</v>
      </c>
      <c r="Q29" s="145">
        <f t="shared" si="11"/>
        <v>-9.62</v>
      </c>
      <c r="R29" s="16" t="s">
        <v>319</v>
      </c>
      <c r="S29" s="53"/>
      <c r="T29" s="102"/>
      <c r="U29" s="102"/>
      <c r="W29" s="98"/>
      <c r="X29" s="61"/>
    </row>
    <row r="30">
      <c r="A30" s="15">
        <v>45737.0</v>
      </c>
      <c r="B30" s="97" t="s">
        <v>40</v>
      </c>
      <c r="C30" s="102"/>
      <c r="D30" s="102"/>
      <c r="E30" s="154"/>
      <c r="F30" s="97" t="s">
        <v>309</v>
      </c>
      <c r="H30" s="16" t="s">
        <v>317</v>
      </c>
      <c r="I30" s="97" t="s">
        <v>135</v>
      </c>
      <c r="J30" s="15">
        <v>45793.0</v>
      </c>
      <c r="K30" s="98" t="s">
        <v>320</v>
      </c>
      <c r="L30" s="16">
        <v>6.0</v>
      </c>
      <c r="N30" s="16">
        <v>14.38</v>
      </c>
      <c r="O30" s="34">
        <f t="shared" si="10"/>
        <v>-14.38</v>
      </c>
      <c r="P30" s="16">
        <v>-48.0</v>
      </c>
      <c r="Q30" s="145">
        <f t="shared" si="11"/>
        <v>-62.38</v>
      </c>
      <c r="R30" s="16" t="s">
        <v>319</v>
      </c>
      <c r="S30" s="53"/>
      <c r="T30" s="102"/>
      <c r="U30" s="102"/>
      <c r="W30" s="98"/>
      <c r="X30" s="61"/>
    </row>
    <row r="31">
      <c r="A31" s="15"/>
      <c r="C31" s="102"/>
      <c r="D31" s="102"/>
      <c r="E31" s="154"/>
      <c r="F31" s="97"/>
      <c r="I31" s="97"/>
      <c r="K31" s="98"/>
      <c r="O31" s="34"/>
      <c r="Q31" s="70"/>
      <c r="R31" s="44"/>
      <c r="S31" s="102"/>
      <c r="T31" s="102"/>
      <c r="U31" s="102"/>
      <c r="W31" s="98"/>
    </row>
    <row r="32">
      <c r="A32" s="15">
        <v>45735.0</v>
      </c>
      <c r="B32" s="97" t="s">
        <v>58</v>
      </c>
      <c r="C32" s="102">
        <v>0.2</v>
      </c>
      <c r="D32" s="102">
        <v>0.56</v>
      </c>
      <c r="E32" s="102">
        <v>1.09</v>
      </c>
      <c r="F32" s="97" t="s">
        <v>310</v>
      </c>
      <c r="G32" s="16">
        <v>0.1</v>
      </c>
      <c r="H32" s="97" t="s">
        <v>112</v>
      </c>
      <c r="I32" s="97" t="s">
        <v>113</v>
      </c>
      <c r="J32" s="15">
        <v>45828.0</v>
      </c>
      <c r="K32" s="98">
        <v>20.0</v>
      </c>
      <c r="L32" s="16">
        <v>4.0</v>
      </c>
      <c r="M32" s="16">
        <f>244+104</f>
        <v>348</v>
      </c>
      <c r="N32" s="16">
        <v>1.36</v>
      </c>
      <c r="O32" s="34">
        <f t="shared" ref="O32:O43" si="13">M32-N32</f>
        <v>346.64</v>
      </c>
      <c r="P32" s="16">
        <v>-136.0</v>
      </c>
      <c r="Q32" s="145">
        <f t="shared" ref="Q32:Q43" si="14">sum(O32:P32)</f>
        <v>210.64</v>
      </c>
      <c r="R32" s="16" t="s">
        <v>321</v>
      </c>
      <c r="S32" s="53">
        <f t="shared" ref="S32:S42" si="15">Q32/(K32*100*L32)</f>
        <v>0.02633</v>
      </c>
      <c r="T32" s="102">
        <v>0.67</v>
      </c>
      <c r="U32" s="102">
        <v>0.57</v>
      </c>
      <c r="W32" s="98" t="s">
        <v>125</v>
      </c>
      <c r="X32" s="52"/>
    </row>
    <row r="33">
      <c r="A33" s="15">
        <v>45754.0</v>
      </c>
      <c r="B33" s="97" t="s">
        <v>60</v>
      </c>
      <c r="C33" s="102">
        <v>0.51</v>
      </c>
      <c r="D33" s="102">
        <v>0.7</v>
      </c>
      <c r="E33" s="102">
        <v>0.43</v>
      </c>
      <c r="F33" s="97" t="s">
        <v>310</v>
      </c>
      <c r="G33" s="16">
        <v>0.04</v>
      </c>
      <c r="H33" s="97" t="s">
        <v>112</v>
      </c>
      <c r="I33" s="97" t="s">
        <v>113</v>
      </c>
      <c r="J33" s="15">
        <v>45828.0</v>
      </c>
      <c r="K33" s="98">
        <v>215.0</v>
      </c>
      <c r="L33" s="16">
        <v>1.0</v>
      </c>
      <c r="M33" s="16">
        <f>151+104.56</f>
        <v>255.56</v>
      </c>
      <c r="N33" s="16">
        <v>0.64</v>
      </c>
      <c r="O33" s="34">
        <f t="shared" si="13"/>
        <v>254.92</v>
      </c>
      <c r="P33" s="16">
        <v>-39.0</v>
      </c>
      <c r="Q33" s="145">
        <f t="shared" si="14"/>
        <v>215.92</v>
      </c>
      <c r="R33" s="16" t="s">
        <v>322</v>
      </c>
      <c r="S33" s="53">
        <f t="shared" si="15"/>
        <v>0.0100427907</v>
      </c>
      <c r="T33" s="102">
        <v>0.82</v>
      </c>
      <c r="U33" s="102">
        <v>0.8</v>
      </c>
      <c r="W33" s="98"/>
      <c r="X33" s="52"/>
    </row>
    <row r="34">
      <c r="A34" s="15">
        <v>45754.0</v>
      </c>
      <c r="B34" s="97" t="s">
        <v>62</v>
      </c>
      <c r="C34" s="102">
        <v>0.51</v>
      </c>
      <c r="D34" s="102">
        <v>1.16</v>
      </c>
      <c r="E34" s="102">
        <v>1.19</v>
      </c>
      <c r="F34" s="97" t="s">
        <v>310</v>
      </c>
      <c r="G34" s="16">
        <v>0.1</v>
      </c>
      <c r="H34" s="97" t="s">
        <v>116</v>
      </c>
      <c r="I34" s="97" t="s">
        <v>113</v>
      </c>
      <c r="J34" s="15">
        <v>45828.0</v>
      </c>
      <c r="K34" s="98">
        <v>6.0</v>
      </c>
      <c r="L34" s="16">
        <v>4.0</v>
      </c>
      <c r="M34" s="16">
        <f>304+104.23</f>
        <v>408.23</v>
      </c>
      <c r="N34" s="16">
        <v>1.35</v>
      </c>
      <c r="O34" s="34">
        <f t="shared" si="13"/>
        <v>406.88</v>
      </c>
      <c r="Q34" s="145">
        <f t="shared" si="14"/>
        <v>406.88</v>
      </c>
      <c r="R34" s="16" t="s">
        <v>323</v>
      </c>
      <c r="S34" s="53">
        <f t="shared" si="15"/>
        <v>0.1695333333</v>
      </c>
      <c r="T34" s="102">
        <v>0.71</v>
      </c>
      <c r="U34" s="102">
        <v>0.58</v>
      </c>
      <c r="W34" s="98"/>
      <c r="X34" s="53">
        <v>0.15</v>
      </c>
    </row>
    <row r="35">
      <c r="A35" s="15">
        <v>45769.0</v>
      </c>
      <c r="B35" s="97" t="s">
        <v>61</v>
      </c>
      <c r="C35" s="102">
        <v>0.31</v>
      </c>
      <c r="D35" s="102">
        <v>0.68</v>
      </c>
      <c r="E35" s="102">
        <v>0.58</v>
      </c>
      <c r="F35" s="97" t="s">
        <v>309</v>
      </c>
      <c r="H35" s="97" t="s">
        <v>112</v>
      </c>
      <c r="I35" s="97" t="s">
        <v>113</v>
      </c>
      <c r="J35" s="15">
        <v>45828.0</v>
      </c>
      <c r="K35" s="98">
        <v>240.0</v>
      </c>
      <c r="L35" s="16">
        <v>1.0</v>
      </c>
      <c r="M35" s="16">
        <f>411+630.3</f>
        <v>1041.3</v>
      </c>
      <c r="N35" s="16">
        <v>0.27</v>
      </c>
      <c r="O35" s="34">
        <f t="shared" si="13"/>
        <v>1041.03</v>
      </c>
      <c r="Q35" s="145">
        <f t="shared" si="14"/>
        <v>1041.03</v>
      </c>
      <c r="R35" s="16" t="s">
        <v>324</v>
      </c>
      <c r="S35" s="53">
        <f t="shared" si="15"/>
        <v>0.04337625</v>
      </c>
      <c r="T35" s="102"/>
      <c r="U35" s="102"/>
      <c r="W35" s="98"/>
      <c r="X35" s="107"/>
    </row>
    <row r="36">
      <c r="A36" s="15">
        <v>45796.0</v>
      </c>
      <c r="B36" s="97" t="s">
        <v>59</v>
      </c>
      <c r="C36" s="102">
        <v>0.18</v>
      </c>
      <c r="D36" s="102">
        <v>0.36</v>
      </c>
      <c r="E36" s="102">
        <v>0.75</v>
      </c>
      <c r="F36" s="97" t="s">
        <v>310</v>
      </c>
      <c r="G36" s="16">
        <v>0.1</v>
      </c>
      <c r="H36" s="97" t="s">
        <v>112</v>
      </c>
      <c r="I36" s="97" t="s">
        <v>113</v>
      </c>
      <c r="J36" s="15">
        <v>45828.0</v>
      </c>
      <c r="K36" s="98">
        <v>125.0</v>
      </c>
      <c r="L36" s="16">
        <v>1.0</v>
      </c>
      <c r="M36" s="16">
        <v>149.0</v>
      </c>
      <c r="N36" s="16">
        <v>0.26</v>
      </c>
      <c r="O36" s="34">
        <f t="shared" si="13"/>
        <v>148.74</v>
      </c>
      <c r="Q36" s="145">
        <f t="shared" si="14"/>
        <v>148.74</v>
      </c>
      <c r="R36" s="16" t="s">
        <v>325</v>
      </c>
      <c r="S36" s="53">
        <f t="shared" si="15"/>
        <v>0.0118992</v>
      </c>
      <c r="T36" s="102">
        <v>0.8</v>
      </c>
      <c r="U36" s="102">
        <v>0.77</v>
      </c>
      <c r="W36" s="98"/>
      <c r="X36" s="120"/>
    </row>
    <row r="37">
      <c r="A37" s="15">
        <v>45796.0</v>
      </c>
      <c r="B37" s="97" t="s">
        <v>54</v>
      </c>
      <c r="C37" s="102">
        <v>0.18</v>
      </c>
      <c r="D37" s="102">
        <v>0.29</v>
      </c>
      <c r="E37" s="102">
        <v>0.47</v>
      </c>
      <c r="F37" s="97" t="s">
        <v>310</v>
      </c>
      <c r="G37" s="16">
        <v>0.03</v>
      </c>
      <c r="H37" s="97" t="s">
        <v>112</v>
      </c>
      <c r="I37" s="97" t="s">
        <v>113</v>
      </c>
      <c r="J37" s="15">
        <v>45828.0</v>
      </c>
      <c r="K37" s="98">
        <v>180.0</v>
      </c>
      <c r="L37" s="16">
        <v>1.0</v>
      </c>
      <c r="M37" s="16">
        <v>150.0</v>
      </c>
      <c r="N37" s="16">
        <v>0.78</v>
      </c>
      <c r="O37" s="34">
        <f t="shared" si="13"/>
        <v>149.22</v>
      </c>
      <c r="Q37" s="145">
        <f t="shared" si="14"/>
        <v>149.22</v>
      </c>
      <c r="R37" s="16" t="s">
        <v>288</v>
      </c>
      <c r="S37" s="53">
        <f t="shared" si="15"/>
        <v>0.00829</v>
      </c>
      <c r="T37" s="102">
        <v>0.84</v>
      </c>
      <c r="U37" s="102">
        <v>0.82</v>
      </c>
      <c r="W37" s="98"/>
      <c r="X37" s="120"/>
    </row>
    <row r="38">
      <c r="A38" s="15">
        <v>45796.0</v>
      </c>
      <c r="B38" s="97" t="s">
        <v>63</v>
      </c>
      <c r="C38" s="102">
        <v>0.18</v>
      </c>
      <c r="D38" s="102">
        <v>0.49</v>
      </c>
      <c r="E38" s="102">
        <v>0.77</v>
      </c>
      <c r="F38" s="97" t="s">
        <v>309</v>
      </c>
      <c r="G38" s="16">
        <v>0.02</v>
      </c>
      <c r="H38" s="97" t="s">
        <v>116</v>
      </c>
      <c r="I38" s="97" t="s">
        <v>113</v>
      </c>
      <c r="J38" s="15">
        <v>45828.0</v>
      </c>
      <c r="K38" s="98">
        <v>110.0</v>
      </c>
      <c r="L38" s="16">
        <v>1.0</v>
      </c>
      <c r="M38" s="16">
        <v>107.0</v>
      </c>
      <c r="N38" s="16">
        <v>0.78</v>
      </c>
      <c r="O38" s="34">
        <f t="shared" si="13"/>
        <v>106.22</v>
      </c>
      <c r="Q38" s="145">
        <f t="shared" si="14"/>
        <v>106.22</v>
      </c>
      <c r="R38" s="16" t="s">
        <v>288</v>
      </c>
      <c r="S38" s="53">
        <f t="shared" si="15"/>
        <v>0.009656363636</v>
      </c>
      <c r="T38" s="102">
        <v>0.93</v>
      </c>
      <c r="U38" s="102">
        <v>0.93</v>
      </c>
      <c r="V38" s="16">
        <v>10852.0</v>
      </c>
      <c r="W38" s="98"/>
      <c r="X38" s="16">
        <v>0.01</v>
      </c>
    </row>
    <row r="39">
      <c r="A39" s="15">
        <v>45796.0</v>
      </c>
      <c r="B39" s="97" t="s">
        <v>62</v>
      </c>
      <c r="C39" s="102">
        <v>0.18</v>
      </c>
      <c r="D39" s="102">
        <v>0.96</v>
      </c>
      <c r="E39" s="102">
        <v>1.33</v>
      </c>
      <c r="F39" s="97" t="s">
        <v>310</v>
      </c>
      <c r="G39" s="16">
        <v>0.1</v>
      </c>
      <c r="H39" s="97" t="s">
        <v>112</v>
      </c>
      <c r="I39" s="97" t="s">
        <v>113</v>
      </c>
      <c r="J39" s="15">
        <v>45828.0</v>
      </c>
      <c r="K39" s="98">
        <v>8.0</v>
      </c>
      <c r="L39" s="16">
        <v>4.0</v>
      </c>
      <c r="M39" s="16">
        <v>136.0</v>
      </c>
      <c r="N39" s="16">
        <v>1.36</v>
      </c>
      <c r="O39" s="34">
        <f t="shared" si="13"/>
        <v>134.64</v>
      </c>
      <c r="Q39" s="145">
        <f t="shared" si="14"/>
        <v>134.64</v>
      </c>
      <c r="R39" s="16" t="s">
        <v>288</v>
      </c>
      <c r="S39" s="53">
        <f t="shared" si="15"/>
        <v>0.042075</v>
      </c>
      <c r="T39" s="102">
        <v>0.75</v>
      </c>
      <c r="U39" s="102">
        <v>0.7</v>
      </c>
      <c r="W39" s="98"/>
      <c r="X39" s="120"/>
    </row>
    <row r="40">
      <c r="A40" s="15">
        <v>45796.0</v>
      </c>
      <c r="B40" s="97" t="s">
        <v>326</v>
      </c>
      <c r="C40" s="102">
        <v>0.18</v>
      </c>
      <c r="D40" s="102">
        <v>0.46</v>
      </c>
      <c r="E40" s="102">
        <v>0.96</v>
      </c>
      <c r="F40" s="97" t="s">
        <v>310</v>
      </c>
      <c r="G40" s="16">
        <v>0.05</v>
      </c>
      <c r="H40" s="97" t="s">
        <v>116</v>
      </c>
      <c r="I40" s="97" t="s">
        <v>113</v>
      </c>
      <c r="J40" s="15">
        <v>45828.0</v>
      </c>
      <c r="K40" s="98">
        <v>95.0</v>
      </c>
      <c r="L40" s="16">
        <v>1.0</v>
      </c>
      <c r="M40" s="16">
        <v>134.0</v>
      </c>
      <c r="N40" s="16">
        <v>0.78</v>
      </c>
      <c r="O40" s="34">
        <f t="shared" si="13"/>
        <v>133.22</v>
      </c>
      <c r="Q40" s="145">
        <f t="shared" si="14"/>
        <v>133.22</v>
      </c>
      <c r="R40" s="16" t="s">
        <v>288</v>
      </c>
      <c r="S40" s="53">
        <f t="shared" si="15"/>
        <v>0.01402315789</v>
      </c>
      <c r="T40" s="102">
        <v>0.88</v>
      </c>
      <c r="U40" s="102">
        <v>0.85</v>
      </c>
      <c r="V40" s="16">
        <v>9325.0</v>
      </c>
      <c r="W40" s="98"/>
      <c r="X40" s="16">
        <v>0.01</v>
      </c>
    </row>
    <row r="41">
      <c r="A41" s="15">
        <v>45796.0</v>
      </c>
      <c r="B41" s="97" t="s">
        <v>327</v>
      </c>
      <c r="C41" s="102">
        <v>0.18</v>
      </c>
      <c r="D41" s="102">
        <v>0.52</v>
      </c>
      <c r="E41" s="102">
        <v>0.83</v>
      </c>
      <c r="F41" s="97" t="s">
        <v>310</v>
      </c>
      <c r="G41" s="16">
        <v>0.04</v>
      </c>
      <c r="H41" s="97" t="s">
        <v>116</v>
      </c>
      <c r="I41" s="97" t="s">
        <v>113</v>
      </c>
      <c r="J41" s="15">
        <v>45828.0</v>
      </c>
      <c r="K41" s="98">
        <v>87.0</v>
      </c>
      <c r="L41" s="16">
        <v>1.0</v>
      </c>
      <c r="M41" s="16">
        <v>156.0</v>
      </c>
      <c r="N41" s="16">
        <v>0.78</v>
      </c>
      <c r="O41" s="34">
        <f t="shared" si="13"/>
        <v>155.22</v>
      </c>
      <c r="Q41" s="145">
        <f t="shared" si="14"/>
        <v>155.22</v>
      </c>
      <c r="R41" s="16" t="s">
        <v>288</v>
      </c>
      <c r="S41" s="53">
        <f t="shared" si="15"/>
        <v>0.01784137931</v>
      </c>
      <c r="T41" s="102">
        <v>0.85</v>
      </c>
      <c r="U41" s="102">
        <v>0.82</v>
      </c>
      <c r="V41" s="16">
        <v>8527.0</v>
      </c>
      <c r="W41" s="98"/>
      <c r="X41" s="16">
        <v>0.02</v>
      </c>
    </row>
    <row r="42">
      <c r="A42" s="15">
        <v>45796.0</v>
      </c>
      <c r="B42" s="97" t="s">
        <v>328</v>
      </c>
      <c r="C42" s="102">
        <v>0.18</v>
      </c>
      <c r="D42" s="102">
        <v>0.55</v>
      </c>
      <c r="E42" s="102">
        <v>1.11</v>
      </c>
      <c r="F42" s="97" t="s">
        <v>310</v>
      </c>
      <c r="G42" s="16">
        <v>0.07</v>
      </c>
      <c r="H42" s="97" t="s">
        <v>116</v>
      </c>
      <c r="I42" s="97" t="s">
        <v>113</v>
      </c>
      <c r="J42" s="15">
        <v>45828.0</v>
      </c>
      <c r="K42" s="98">
        <v>90.0</v>
      </c>
      <c r="L42" s="16">
        <v>1.0</v>
      </c>
      <c r="M42" s="16">
        <v>138.0</v>
      </c>
      <c r="N42" s="16">
        <v>0.81</v>
      </c>
      <c r="O42" s="34">
        <f t="shared" si="13"/>
        <v>137.19</v>
      </c>
      <c r="Q42" s="145">
        <f t="shared" si="14"/>
        <v>137.19</v>
      </c>
      <c r="R42" s="16" t="s">
        <v>288</v>
      </c>
      <c r="S42" s="53">
        <f t="shared" si="15"/>
        <v>0.01524333333</v>
      </c>
      <c r="T42" s="102">
        <v>0.87</v>
      </c>
      <c r="U42" s="102">
        <v>0.85</v>
      </c>
      <c r="V42" s="16">
        <v>8838.0</v>
      </c>
      <c r="W42" s="98"/>
      <c r="X42" s="16">
        <v>0.01</v>
      </c>
    </row>
    <row r="43">
      <c r="A43" s="15">
        <v>45799.0</v>
      </c>
      <c r="B43" s="97" t="s">
        <v>329</v>
      </c>
      <c r="D43" s="102"/>
      <c r="E43" s="154"/>
      <c r="F43" s="97" t="s">
        <v>309</v>
      </c>
      <c r="H43" s="97" t="s">
        <v>330</v>
      </c>
      <c r="I43" s="97" t="s">
        <v>113</v>
      </c>
      <c r="J43" s="15">
        <v>45828.0</v>
      </c>
      <c r="K43" s="98" t="s">
        <v>331</v>
      </c>
      <c r="L43" s="16">
        <v>1.0</v>
      </c>
      <c r="M43" s="8">
        <f>322-289</f>
        <v>33</v>
      </c>
      <c r="N43" s="16">
        <v>2.12</v>
      </c>
      <c r="O43" s="34">
        <f t="shared" si="13"/>
        <v>30.88</v>
      </c>
      <c r="Q43" s="145">
        <f t="shared" si="14"/>
        <v>30.88</v>
      </c>
      <c r="R43" s="16" t="s">
        <v>332</v>
      </c>
      <c r="S43" s="53"/>
      <c r="T43" s="102"/>
      <c r="U43" s="102"/>
      <c r="W43" s="98"/>
      <c r="X43" s="61"/>
    </row>
    <row r="44">
      <c r="A44" s="15"/>
      <c r="B44" s="155"/>
      <c r="D44" s="102"/>
      <c r="E44" s="154"/>
      <c r="F44" s="97"/>
      <c r="H44" s="103"/>
      <c r="I44" s="97"/>
      <c r="K44" s="98"/>
      <c r="O44" s="34"/>
      <c r="Q44" s="70"/>
      <c r="S44" s="102"/>
      <c r="T44" s="102"/>
      <c r="U44" s="102"/>
      <c r="W44" s="98"/>
      <c r="X44" s="61"/>
    </row>
    <row r="45">
      <c r="A45" s="15">
        <v>45811.0</v>
      </c>
      <c r="B45" s="97" t="s">
        <v>40</v>
      </c>
      <c r="C45" s="102">
        <v>0.178</v>
      </c>
      <c r="D45" s="53">
        <v>0.448</v>
      </c>
      <c r="E45" s="53">
        <v>0.436</v>
      </c>
      <c r="F45" s="97" t="s">
        <v>310</v>
      </c>
      <c r="H45" s="97" t="s">
        <v>112</v>
      </c>
      <c r="I45" s="97" t="s">
        <v>113</v>
      </c>
      <c r="J45" s="15">
        <v>45856.0</v>
      </c>
      <c r="K45" s="98">
        <v>11.0</v>
      </c>
      <c r="L45" s="16">
        <v>6.0</v>
      </c>
      <c r="M45" s="16">
        <v>120.0</v>
      </c>
      <c r="N45" s="16">
        <v>4.26</v>
      </c>
      <c r="O45" s="34">
        <f t="shared" ref="O45:O54" si="16">M45-N45</f>
        <v>115.74</v>
      </c>
      <c r="Q45" s="145">
        <f t="shared" ref="Q45:Q54" si="17">sum(O45:P45)</f>
        <v>115.74</v>
      </c>
      <c r="R45" s="16" t="s">
        <v>333</v>
      </c>
      <c r="S45" s="53">
        <f t="shared" ref="S45:S54" si="18">Q45/(K45*100*L45)</f>
        <v>0.01753636364</v>
      </c>
      <c r="T45" s="102">
        <v>0.8</v>
      </c>
      <c r="U45" s="102">
        <v>0.76</v>
      </c>
      <c r="W45" s="98"/>
    </row>
    <row r="46">
      <c r="A46" s="15">
        <v>45834.0</v>
      </c>
      <c r="B46" s="97" t="s">
        <v>60</v>
      </c>
      <c r="C46" s="53">
        <v>0.1635</v>
      </c>
      <c r="D46" s="102">
        <v>0.239</v>
      </c>
      <c r="E46" s="102">
        <v>0.253</v>
      </c>
      <c r="F46" s="97" t="s">
        <v>310</v>
      </c>
      <c r="G46" s="16">
        <v>0.02</v>
      </c>
      <c r="H46" s="97" t="s">
        <v>112</v>
      </c>
      <c r="I46" s="97" t="s">
        <v>113</v>
      </c>
      <c r="J46" s="15">
        <v>45856.0</v>
      </c>
      <c r="K46" s="98">
        <v>205.0</v>
      </c>
      <c r="L46" s="16">
        <v>1.0</v>
      </c>
      <c r="M46" s="16">
        <v>269.0</v>
      </c>
      <c r="N46" s="16">
        <v>0.78</v>
      </c>
      <c r="O46" s="34">
        <f t="shared" si="16"/>
        <v>268.22</v>
      </c>
      <c r="Q46" s="145">
        <f t="shared" si="17"/>
        <v>268.22</v>
      </c>
      <c r="R46" s="16" t="s">
        <v>333</v>
      </c>
      <c r="S46" s="53">
        <f t="shared" si="18"/>
        <v>0.01308390244</v>
      </c>
      <c r="T46" s="102">
        <v>0.72</v>
      </c>
      <c r="U46" s="102">
        <v>0.64</v>
      </c>
      <c r="W46" s="98"/>
      <c r="X46" s="61"/>
    </row>
    <row r="47">
      <c r="A47" s="15">
        <v>45834.0</v>
      </c>
      <c r="B47" s="97" t="s">
        <v>77</v>
      </c>
      <c r="C47" s="53">
        <v>0.1635</v>
      </c>
      <c r="D47" s="102">
        <v>0.3</v>
      </c>
      <c r="E47" s="102">
        <v>0.294</v>
      </c>
      <c r="F47" s="97" t="s">
        <v>310</v>
      </c>
      <c r="G47" s="16">
        <v>0.05</v>
      </c>
      <c r="H47" s="97" t="s">
        <v>116</v>
      </c>
      <c r="I47" s="97" t="s">
        <v>113</v>
      </c>
      <c r="J47" s="15">
        <v>45856.0</v>
      </c>
      <c r="K47" s="98">
        <v>59.0</v>
      </c>
      <c r="L47" s="16">
        <v>1.0</v>
      </c>
      <c r="M47" s="16">
        <v>165.0</v>
      </c>
      <c r="N47" s="16">
        <v>0.78</v>
      </c>
      <c r="O47" s="34">
        <f t="shared" si="16"/>
        <v>164.22</v>
      </c>
      <c r="Q47" s="145">
        <f t="shared" si="17"/>
        <v>164.22</v>
      </c>
      <c r="R47" s="16" t="s">
        <v>255</v>
      </c>
      <c r="S47" s="53">
        <f t="shared" si="18"/>
        <v>0.02783389831</v>
      </c>
      <c r="T47" s="102">
        <v>0.66</v>
      </c>
      <c r="U47" s="102">
        <v>0.5</v>
      </c>
      <c r="W47" s="98"/>
      <c r="X47" s="16">
        <v>0.03</v>
      </c>
    </row>
    <row r="48">
      <c r="A48" s="15">
        <v>45834.0</v>
      </c>
      <c r="B48" s="97" t="s">
        <v>54</v>
      </c>
      <c r="C48" s="53">
        <v>0.1635</v>
      </c>
      <c r="D48" s="102">
        <v>0.25</v>
      </c>
      <c r="E48" s="102">
        <v>0.31</v>
      </c>
      <c r="F48" s="97" t="s">
        <v>310</v>
      </c>
      <c r="G48" s="16">
        <v>0.02</v>
      </c>
      <c r="H48" s="97" t="s">
        <v>112</v>
      </c>
      <c r="I48" s="97" t="s">
        <v>113</v>
      </c>
      <c r="J48" s="15">
        <v>45856.0</v>
      </c>
      <c r="K48" s="98">
        <v>180.0</v>
      </c>
      <c r="L48" s="16">
        <v>1.0</v>
      </c>
      <c r="M48" s="16">
        <v>190.0</v>
      </c>
      <c r="N48" s="16">
        <v>0.78</v>
      </c>
      <c r="O48" s="34">
        <f t="shared" si="16"/>
        <v>189.22</v>
      </c>
      <c r="Q48" s="145">
        <f t="shared" si="17"/>
        <v>189.22</v>
      </c>
      <c r="R48" s="16" t="s">
        <v>333</v>
      </c>
      <c r="S48" s="53">
        <f t="shared" si="18"/>
        <v>0.01051222222</v>
      </c>
      <c r="T48" s="102">
        <v>0.77</v>
      </c>
      <c r="U48" s="102">
        <v>0.72</v>
      </c>
      <c r="W48" s="98"/>
      <c r="X48" s="61"/>
    </row>
    <row r="49">
      <c r="A49" s="15">
        <v>45834.0</v>
      </c>
      <c r="B49" s="97" t="s">
        <v>326</v>
      </c>
      <c r="C49" s="53">
        <v>0.1635</v>
      </c>
      <c r="D49" s="102">
        <v>0.41</v>
      </c>
      <c r="E49" s="102">
        <v>0.4</v>
      </c>
      <c r="F49" s="97" t="s">
        <v>310</v>
      </c>
      <c r="G49" s="16">
        <v>0.06</v>
      </c>
      <c r="H49" s="97" t="s">
        <v>116</v>
      </c>
      <c r="I49" s="97" t="s">
        <v>113</v>
      </c>
      <c r="J49" s="15">
        <v>45856.0</v>
      </c>
      <c r="K49" s="98">
        <v>107.0</v>
      </c>
      <c r="L49" s="16">
        <v>1.0</v>
      </c>
      <c r="M49" s="16">
        <v>211.0</v>
      </c>
      <c r="N49" s="16">
        <v>0.78</v>
      </c>
      <c r="O49" s="34">
        <f t="shared" si="16"/>
        <v>210.22</v>
      </c>
      <c r="Q49" s="145">
        <f t="shared" si="17"/>
        <v>210.22</v>
      </c>
      <c r="R49" s="16" t="s">
        <v>288</v>
      </c>
      <c r="S49" s="53">
        <f t="shared" si="18"/>
        <v>0.01964672897</v>
      </c>
      <c r="T49" s="102">
        <v>0.78</v>
      </c>
      <c r="U49" s="102">
        <v>0.72</v>
      </c>
      <c r="W49" s="98"/>
      <c r="X49" s="16">
        <v>0.02</v>
      </c>
    </row>
    <row r="50">
      <c r="A50" s="15">
        <v>45834.0</v>
      </c>
      <c r="B50" s="97" t="s">
        <v>334</v>
      </c>
      <c r="C50" s="53">
        <v>0.1635</v>
      </c>
      <c r="D50" s="102">
        <v>0.38</v>
      </c>
      <c r="E50" s="102">
        <v>0.37</v>
      </c>
      <c r="F50" s="97" t="s">
        <v>310</v>
      </c>
      <c r="G50" s="16">
        <v>0.15</v>
      </c>
      <c r="H50" s="97" t="s">
        <v>116</v>
      </c>
      <c r="I50" s="97" t="s">
        <v>113</v>
      </c>
      <c r="J50" s="15">
        <v>45856.0</v>
      </c>
      <c r="K50" s="98">
        <v>60.0</v>
      </c>
      <c r="L50" s="16">
        <v>1.0</v>
      </c>
      <c r="M50" s="16">
        <v>131.0</v>
      </c>
      <c r="N50" s="16">
        <v>0.01</v>
      </c>
      <c r="O50" s="34">
        <f t="shared" si="16"/>
        <v>130.99</v>
      </c>
      <c r="Q50" s="145">
        <f t="shared" si="17"/>
        <v>130.99</v>
      </c>
      <c r="R50" s="16" t="s">
        <v>288</v>
      </c>
      <c r="S50" s="53">
        <f t="shared" si="18"/>
        <v>0.02183166667</v>
      </c>
      <c r="T50" s="102">
        <v>0.74</v>
      </c>
      <c r="U50" s="102">
        <v>0.66</v>
      </c>
      <c r="W50" s="98"/>
      <c r="X50" s="16">
        <v>0.02</v>
      </c>
    </row>
    <row r="51">
      <c r="A51" s="15">
        <v>45834.0</v>
      </c>
      <c r="B51" s="97" t="s">
        <v>59</v>
      </c>
      <c r="C51" s="53">
        <v>0.1635</v>
      </c>
      <c r="D51" s="102">
        <v>0.38</v>
      </c>
      <c r="E51" s="102">
        <v>0.33</v>
      </c>
      <c r="F51" s="97" t="s">
        <v>310</v>
      </c>
      <c r="G51" s="16">
        <v>0.02</v>
      </c>
      <c r="H51" s="97" t="s">
        <v>112</v>
      </c>
      <c r="I51" s="97" t="s">
        <v>113</v>
      </c>
      <c r="J51" s="15">
        <v>45856.0</v>
      </c>
      <c r="K51" s="98">
        <v>105.0</v>
      </c>
      <c r="L51" s="16">
        <v>1.0</v>
      </c>
      <c r="M51" s="16">
        <v>184.0</v>
      </c>
      <c r="N51" s="16">
        <v>0.01</v>
      </c>
      <c r="O51" s="34">
        <f t="shared" si="16"/>
        <v>183.99</v>
      </c>
      <c r="Q51" s="145">
        <f t="shared" si="17"/>
        <v>183.99</v>
      </c>
      <c r="R51" s="16" t="s">
        <v>333</v>
      </c>
      <c r="S51" s="53">
        <f t="shared" si="18"/>
        <v>0.01752285714</v>
      </c>
      <c r="T51" s="102">
        <v>0.75</v>
      </c>
      <c r="U51" s="102">
        <v>0.69</v>
      </c>
      <c r="W51" s="98"/>
      <c r="X51" s="16">
        <v>0.02</v>
      </c>
    </row>
    <row r="52">
      <c r="A52" s="15">
        <v>45835.0</v>
      </c>
      <c r="B52" s="97" t="s">
        <v>335</v>
      </c>
      <c r="C52" s="53">
        <v>0.1635</v>
      </c>
      <c r="D52" s="102">
        <v>0.59</v>
      </c>
      <c r="E52" s="102">
        <v>0.46</v>
      </c>
      <c r="F52" s="97" t="s">
        <v>310</v>
      </c>
      <c r="G52" s="16">
        <v>0.95</v>
      </c>
      <c r="H52" s="97" t="s">
        <v>116</v>
      </c>
      <c r="I52" s="97" t="s">
        <v>113</v>
      </c>
      <c r="J52" s="15">
        <v>45856.0</v>
      </c>
      <c r="K52" s="98">
        <v>25.0</v>
      </c>
      <c r="L52" s="16">
        <v>3.0</v>
      </c>
      <c r="M52" s="16">
        <v>243.0</v>
      </c>
      <c r="N52" s="16">
        <v>1.02</v>
      </c>
      <c r="O52" s="34">
        <f t="shared" si="16"/>
        <v>241.98</v>
      </c>
      <c r="Q52" s="145">
        <f t="shared" si="17"/>
        <v>241.98</v>
      </c>
      <c r="R52" s="16" t="s">
        <v>288</v>
      </c>
      <c r="S52" s="53">
        <f t="shared" si="18"/>
        <v>0.032264</v>
      </c>
      <c r="T52" s="102">
        <v>0.63</v>
      </c>
      <c r="U52" s="102">
        <v>0.6</v>
      </c>
      <c r="W52" s="98"/>
      <c r="X52" s="16">
        <v>0.01</v>
      </c>
    </row>
    <row r="53">
      <c r="A53" s="15">
        <v>45835.0</v>
      </c>
      <c r="B53" s="97" t="s">
        <v>63</v>
      </c>
      <c r="C53" s="53">
        <v>0.1635</v>
      </c>
      <c r="D53" s="102">
        <v>0.33</v>
      </c>
      <c r="E53" s="102">
        <v>0.35</v>
      </c>
      <c r="F53" s="97" t="s">
        <v>310</v>
      </c>
      <c r="G53" s="16">
        <v>0.02</v>
      </c>
      <c r="H53" s="97" t="s">
        <v>112</v>
      </c>
      <c r="I53" s="97" t="s">
        <v>113</v>
      </c>
      <c r="J53" s="15">
        <v>45856.0</v>
      </c>
      <c r="K53" s="98">
        <v>167.5</v>
      </c>
      <c r="L53" s="16">
        <v>1.0</v>
      </c>
      <c r="M53" s="16">
        <v>171.0</v>
      </c>
      <c r="N53" s="16">
        <v>0.78</v>
      </c>
      <c r="O53" s="34">
        <f t="shared" si="16"/>
        <v>170.22</v>
      </c>
      <c r="Q53" s="145">
        <f t="shared" si="17"/>
        <v>170.22</v>
      </c>
      <c r="R53" s="16" t="s">
        <v>333</v>
      </c>
      <c r="S53" s="53">
        <f t="shared" si="18"/>
        <v>0.01016238806</v>
      </c>
      <c r="T53" s="102">
        <v>0.8</v>
      </c>
      <c r="U53" s="102">
        <v>0.76</v>
      </c>
      <c r="W53" s="98"/>
      <c r="X53" s="61"/>
    </row>
    <row r="54">
      <c r="A54" s="15">
        <v>45840.0</v>
      </c>
      <c r="B54" s="97" t="s">
        <v>62</v>
      </c>
      <c r="C54" s="53">
        <v>0.165</v>
      </c>
      <c r="D54" s="102">
        <v>0.98</v>
      </c>
      <c r="E54" s="102">
        <v>1.25</v>
      </c>
      <c r="F54" s="97" t="s">
        <v>310</v>
      </c>
      <c r="G54" s="16">
        <v>0.1</v>
      </c>
      <c r="H54" s="97" t="s">
        <v>112</v>
      </c>
      <c r="I54" s="97" t="s">
        <v>113</v>
      </c>
      <c r="J54" s="15">
        <v>45856.0</v>
      </c>
      <c r="K54" s="98">
        <v>8.0</v>
      </c>
      <c r="L54" s="16">
        <v>4.0</v>
      </c>
      <c r="M54" s="16">
        <v>156.0</v>
      </c>
      <c r="N54" s="16">
        <v>1.37</v>
      </c>
      <c r="O54" s="34">
        <f t="shared" si="16"/>
        <v>154.63</v>
      </c>
      <c r="Q54" s="145">
        <f t="shared" si="17"/>
        <v>154.63</v>
      </c>
      <c r="R54" s="16" t="s">
        <v>255</v>
      </c>
      <c r="S54" s="53">
        <f t="shared" si="18"/>
        <v>0.048321875</v>
      </c>
      <c r="T54" s="102">
        <v>0.7</v>
      </c>
      <c r="U54" s="102">
        <v>0.62</v>
      </c>
      <c r="W54" s="98"/>
      <c r="X54" s="61"/>
    </row>
    <row r="55">
      <c r="A55" s="15"/>
      <c r="B55" s="155"/>
      <c r="D55" s="102"/>
      <c r="E55" s="102"/>
      <c r="F55" s="97"/>
      <c r="I55" s="97"/>
      <c r="K55" s="98"/>
      <c r="O55" s="34"/>
      <c r="Q55" s="70"/>
      <c r="S55" s="102"/>
      <c r="T55" s="102"/>
      <c r="U55" s="102"/>
      <c r="W55" s="98"/>
      <c r="X55" s="61"/>
    </row>
    <row r="56">
      <c r="A56" s="15">
        <v>45841.0</v>
      </c>
      <c r="B56" s="97" t="s">
        <v>59</v>
      </c>
      <c r="C56" s="53">
        <v>0.165</v>
      </c>
      <c r="D56" s="102">
        <v>0.52</v>
      </c>
      <c r="E56" s="102">
        <v>0.39</v>
      </c>
      <c r="F56" s="97" t="s">
        <v>309</v>
      </c>
      <c r="G56" s="16">
        <v>0.4</v>
      </c>
      <c r="H56" s="97" t="s">
        <v>112</v>
      </c>
      <c r="I56" s="97" t="s">
        <v>113</v>
      </c>
      <c r="J56" s="15">
        <v>45884.0</v>
      </c>
      <c r="K56" s="98">
        <v>110.0</v>
      </c>
      <c r="L56" s="16">
        <v>1.0</v>
      </c>
      <c r="M56" s="16">
        <v>174.0</v>
      </c>
      <c r="N56" s="16">
        <v>2.12</v>
      </c>
      <c r="O56" s="34">
        <f t="shared" ref="O56:O68" si="19">M56-N56</f>
        <v>171.88</v>
      </c>
      <c r="Q56" s="145">
        <f t="shared" ref="Q56:Q68" si="20">sum(O56:P56)</f>
        <v>171.88</v>
      </c>
      <c r="R56" s="16" t="s">
        <v>336</v>
      </c>
      <c r="S56" s="53">
        <f t="shared" ref="S56:S68" si="21">Q56/(K56*100*L56)</f>
        <v>0.01562545455</v>
      </c>
      <c r="T56" s="102">
        <v>0.66</v>
      </c>
      <c r="U56" s="102">
        <v>0.54</v>
      </c>
      <c r="W56" s="98"/>
      <c r="X56" s="61"/>
    </row>
    <row r="57">
      <c r="A57" s="15">
        <v>45841.0</v>
      </c>
      <c r="B57" s="97" t="s">
        <v>60</v>
      </c>
      <c r="C57" s="53">
        <v>0.165</v>
      </c>
      <c r="D57" s="102">
        <v>0.22</v>
      </c>
      <c r="E57" s="102">
        <v>0.26</v>
      </c>
      <c r="F57" s="97" t="s">
        <v>309</v>
      </c>
      <c r="G57" s="16">
        <v>0.1</v>
      </c>
      <c r="H57" s="97" t="s">
        <v>112</v>
      </c>
      <c r="I57" s="97" t="s">
        <v>113</v>
      </c>
      <c r="J57" s="15">
        <v>45884.0</v>
      </c>
      <c r="K57" s="98">
        <v>210.0</v>
      </c>
      <c r="L57" s="16">
        <v>1.0</v>
      </c>
      <c r="M57" s="16">
        <v>29.0</v>
      </c>
      <c r="N57" s="16">
        <v>1.41</v>
      </c>
      <c r="O57" s="34">
        <f t="shared" si="19"/>
        <v>27.59</v>
      </c>
      <c r="Q57" s="145">
        <f t="shared" si="20"/>
        <v>27.59</v>
      </c>
      <c r="R57" s="16" t="s">
        <v>337</v>
      </c>
      <c r="S57" s="53">
        <f t="shared" si="21"/>
        <v>0.001313809524</v>
      </c>
      <c r="T57" s="102">
        <v>0.61</v>
      </c>
      <c r="U57" s="102">
        <v>0.4</v>
      </c>
      <c r="W57" s="98"/>
      <c r="X57" s="61"/>
    </row>
    <row r="58">
      <c r="A58" s="15">
        <v>45841.0</v>
      </c>
      <c r="B58" s="97" t="s">
        <v>54</v>
      </c>
      <c r="C58" s="53">
        <v>0.165</v>
      </c>
      <c r="D58" s="102">
        <v>0.33</v>
      </c>
      <c r="E58" s="102">
        <v>0.3</v>
      </c>
      <c r="F58" s="97" t="s">
        <v>309</v>
      </c>
      <c r="G58" s="16">
        <v>0.1</v>
      </c>
      <c r="H58" s="97" t="s">
        <v>112</v>
      </c>
      <c r="I58" s="97" t="s">
        <v>113</v>
      </c>
      <c r="J58" s="15">
        <v>45884.0</v>
      </c>
      <c r="K58" s="98">
        <v>190.0</v>
      </c>
      <c r="L58" s="16">
        <v>1.0</v>
      </c>
      <c r="M58" s="16">
        <v>101.0</v>
      </c>
      <c r="N58" s="16">
        <v>1.41</v>
      </c>
      <c r="O58" s="34">
        <f t="shared" si="19"/>
        <v>99.59</v>
      </c>
      <c r="Q58" s="145">
        <f t="shared" si="20"/>
        <v>99.59</v>
      </c>
      <c r="R58" s="16" t="s">
        <v>338</v>
      </c>
      <c r="S58" s="53">
        <f t="shared" si="21"/>
        <v>0.005241578947</v>
      </c>
      <c r="T58" s="102">
        <v>0.74</v>
      </c>
      <c r="U58" s="102">
        <v>0.67</v>
      </c>
      <c r="W58" s="98"/>
      <c r="X58" s="61"/>
    </row>
    <row r="59">
      <c r="A59" s="15">
        <v>45848.0</v>
      </c>
      <c r="B59" s="97" t="s">
        <v>58</v>
      </c>
      <c r="C59" s="102">
        <v>0.16</v>
      </c>
      <c r="D59" s="102">
        <v>0.41</v>
      </c>
      <c r="E59" s="102">
        <v>0.56</v>
      </c>
      <c r="F59" s="97" t="s">
        <v>310</v>
      </c>
      <c r="G59" s="16">
        <v>0.1</v>
      </c>
      <c r="H59" s="97" t="s">
        <v>112</v>
      </c>
      <c r="I59" s="97" t="s">
        <v>113</v>
      </c>
      <c r="J59" s="15">
        <v>45884.0</v>
      </c>
      <c r="K59" s="98">
        <v>15.0</v>
      </c>
      <c r="L59" s="16">
        <v>4.0</v>
      </c>
      <c r="M59" s="16">
        <v>244.0</v>
      </c>
      <c r="N59" s="16">
        <v>1.37</v>
      </c>
      <c r="O59" s="34">
        <f t="shared" si="19"/>
        <v>242.63</v>
      </c>
      <c r="Q59" s="145">
        <f t="shared" si="20"/>
        <v>242.63</v>
      </c>
      <c r="S59" s="53">
        <f t="shared" si="21"/>
        <v>0.04043833333</v>
      </c>
      <c r="T59" s="102">
        <v>0.67</v>
      </c>
      <c r="U59" s="102">
        <v>0.56</v>
      </c>
      <c r="W59" s="98"/>
      <c r="X59" s="61"/>
    </row>
    <row r="60">
      <c r="A60" s="15">
        <v>45848.0</v>
      </c>
      <c r="B60" s="97" t="s">
        <v>40</v>
      </c>
      <c r="C60" s="102">
        <v>0.16</v>
      </c>
      <c r="D60" s="102">
        <v>0.46</v>
      </c>
      <c r="E60" s="102">
        <v>0.32</v>
      </c>
      <c r="F60" s="97" t="s">
        <v>309</v>
      </c>
      <c r="G60" s="16">
        <v>0.13</v>
      </c>
      <c r="H60" s="97" t="s">
        <v>112</v>
      </c>
      <c r="I60" s="97" t="s">
        <v>113</v>
      </c>
      <c r="J60" s="15">
        <v>45884.0</v>
      </c>
      <c r="K60" s="98">
        <v>11.0</v>
      </c>
      <c r="L60" s="16">
        <v>6.0</v>
      </c>
      <c r="M60" s="16">
        <v>198.0</v>
      </c>
      <c r="N60" s="16">
        <v>3.89</v>
      </c>
      <c r="O60" s="34">
        <f t="shared" si="19"/>
        <v>194.11</v>
      </c>
      <c r="Q60" s="156">
        <f t="shared" si="20"/>
        <v>194.11</v>
      </c>
      <c r="R60" s="16" t="s">
        <v>339</v>
      </c>
      <c r="S60" s="53">
        <f t="shared" si="21"/>
        <v>0.02941060606</v>
      </c>
      <c r="T60" s="102">
        <v>0.65</v>
      </c>
      <c r="U60" s="102">
        <v>0.5</v>
      </c>
      <c r="W60" s="98"/>
      <c r="X60" s="61"/>
    </row>
    <row r="61">
      <c r="A61" s="15">
        <v>45849.0</v>
      </c>
      <c r="B61" s="97" t="s">
        <v>62</v>
      </c>
      <c r="C61" s="102">
        <v>0.16</v>
      </c>
      <c r="D61" s="102">
        <v>1.11</v>
      </c>
      <c r="E61" s="102">
        <v>1.13</v>
      </c>
      <c r="F61" s="97" t="s">
        <v>310</v>
      </c>
      <c r="G61" s="16">
        <v>0.15</v>
      </c>
      <c r="H61" s="97" t="s">
        <v>112</v>
      </c>
      <c r="I61" s="97" t="s">
        <v>113</v>
      </c>
      <c r="J61" s="15">
        <v>45884.0</v>
      </c>
      <c r="K61" s="98">
        <v>8.0</v>
      </c>
      <c r="L61" s="16">
        <v>4.0</v>
      </c>
      <c r="M61" s="16">
        <v>-8.0</v>
      </c>
      <c r="N61" s="16">
        <v>0.36</v>
      </c>
      <c r="O61" s="34">
        <f t="shared" si="19"/>
        <v>-8.36</v>
      </c>
      <c r="Q61" s="145">
        <f t="shared" si="20"/>
        <v>-8.36</v>
      </c>
      <c r="R61" s="16" t="s">
        <v>280</v>
      </c>
      <c r="S61" s="53">
        <f t="shared" si="21"/>
        <v>-0.0026125</v>
      </c>
      <c r="T61" s="102">
        <v>0.59</v>
      </c>
      <c r="U61" s="102">
        <v>0.4</v>
      </c>
      <c r="W61" s="98"/>
      <c r="X61" s="61"/>
    </row>
    <row r="62">
      <c r="A62" s="15">
        <v>45853.0</v>
      </c>
      <c r="B62" s="97" t="s">
        <v>63</v>
      </c>
      <c r="C62" s="102">
        <v>0.17</v>
      </c>
      <c r="D62" s="102"/>
      <c r="E62" s="102"/>
      <c r="F62" s="97"/>
      <c r="H62" s="97" t="s">
        <v>112</v>
      </c>
      <c r="I62" s="97" t="s">
        <v>113</v>
      </c>
      <c r="J62" s="15">
        <v>45884.0</v>
      </c>
      <c r="K62" s="98">
        <v>175.0</v>
      </c>
      <c r="L62" s="16">
        <v>1.0</v>
      </c>
      <c r="M62" s="16">
        <v>81.0</v>
      </c>
      <c r="N62" s="16">
        <v>1.41</v>
      </c>
      <c r="O62" s="34">
        <f t="shared" si="19"/>
        <v>79.59</v>
      </c>
      <c r="Q62" s="145">
        <f t="shared" si="20"/>
        <v>79.59</v>
      </c>
      <c r="R62" s="16" t="s">
        <v>340</v>
      </c>
      <c r="S62" s="53">
        <f t="shared" si="21"/>
        <v>0.004548</v>
      </c>
      <c r="T62" s="102"/>
      <c r="U62" s="102"/>
      <c r="W62" s="98"/>
      <c r="X62" s="61"/>
    </row>
    <row r="63">
      <c r="A63" s="15">
        <v>45859.0</v>
      </c>
      <c r="B63" s="97" t="s">
        <v>327</v>
      </c>
      <c r="C63" s="102">
        <v>0.16</v>
      </c>
      <c r="D63" s="102">
        <v>0.4</v>
      </c>
      <c r="E63" s="102">
        <v>0.39</v>
      </c>
      <c r="F63" s="97" t="s">
        <v>310</v>
      </c>
      <c r="G63" s="16">
        <v>0.04</v>
      </c>
      <c r="H63" s="97" t="s">
        <v>116</v>
      </c>
      <c r="I63" s="97" t="s">
        <v>113</v>
      </c>
      <c r="J63" s="15">
        <v>45884.0</v>
      </c>
      <c r="K63" s="98">
        <v>105.0</v>
      </c>
      <c r="L63" s="16">
        <v>1.0</v>
      </c>
      <c r="M63" s="16">
        <v>150.0</v>
      </c>
      <c r="N63" s="16">
        <v>0.71</v>
      </c>
      <c r="O63" s="34">
        <f t="shared" si="19"/>
        <v>149.29</v>
      </c>
      <c r="Q63" s="145">
        <f t="shared" si="20"/>
        <v>149.29</v>
      </c>
      <c r="R63" s="16" t="s">
        <v>280</v>
      </c>
      <c r="S63" s="53">
        <f t="shared" si="21"/>
        <v>0.01421809524</v>
      </c>
      <c r="T63" s="102">
        <v>0.81</v>
      </c>
      <c r="U63" s="102">
        <v>0.76</v>
      </c>
      <c r="W63" s="98"/>
      <c r="X63" s="16">
        <v>0.03</v>
      </c>
    </row>
    <row r="64">
      <c r="A64" s="15">
        <v>45859.0</v>
      </c>
      <c r="B64" s="97" t="s">
        <v>341</v>
      </c>
      <c r="C64" s="102">
        <v>0.16</v>
      </c>
      <c r="D64" s="102">
        <v>0.62</v>
      </c>
      <c r="E64" s="102">
        <v>0.58</v>
      </c>
      <c r="F64" s="97" t="s">
        <v>309</v>
      </c>
      <c r="G64" s="16">
        <v>0.04</v>
      </c>
      <c r="H64" s="97" t="s">
        <v>116</v>
      </c>
      <c r="I64" s="97" t="s">
        <v>113</v>
      </c>
      <c r="J64" s="15">
        <v>45884.0</v>
      </c>
      <c r="K64" s="98">
        <v>55.0</v>
      </c>
      <c r="L64" s="16">
        <v>1.0</v>
      </c>
      <c r="M64" s="16">
        <v>139.0</v>
      </c>
      <c r="N64" s="16">
        <v>0.81</v>
      </c>
      <c r="O64" s="34">
        <f t="shared" si="19"/>
        <v>138.19</v>
      </c>
      <c r="Q64" s="156">
        <f t="shared" si="20"/>
        <v>138.19</v>
      </c>
      <c r="R64" s="16" t="s">
        <v>342</v>
      </c>
      <c r="S64" s="53">
        <f t="shared" si="21"/>
        <v>0.02512545455</v>
      </c>
      <c r="T64" s="102">
        <v>0.81</v>
      </c>
      <c r="U64" s="102">
        <v>0.76</v>
      </c>
      <c r="W64" s="98"/>
      <c r="X64" s="16">
        <v>0.03</v>
      </c>
    </row>
    <row r="65">
      <c r="A65" s="15">
        <v>45859.0</v>
      </c>
      <c r="B65" s="97" t="s">
        <v>78</v>
      </c>
      <c r="C65" s="102">
        <v>0.16</v>
      </c>
      <c r="D65" s="102">
        <v>0.54</v>
      </c>
      <c r="E65" s="102">
        <v>0.3</v>
      </c>
      <c r="F65" s="97" t="s">
        <v>309</v>
      </c>
      <c r="G65" s="16">
        <v>0.11</v>
      </c>
      <c r="H65" s="97" t="s">
        <v>116</v>
      </c>
      <c r="I65" s="97" t="s">
        <v>113</v>
      </c>
      <c r="J65" s="15">
        <v>45884.0</v>
      </c>
      <c r="K65" s="98">
        <v>97.5</v>
      </c>
      <c r="L65" s="16">
        <v>1.0</v>
      </c>
      <c r="M65" s="16">
        <v>225.0</v>
      </c>
      <c r="N65" s="16">
        <v>0.71</v>
      </c>
      <c r="O65" s="34">
        <f t="shared" si="19"/>
        <v>224.29</v>
      </c>
      <c r="Q65" s="156">
        <f t="shared" si="20"/>
        <v>224.29</v>
      </c>
      <c r="R65" s="16" t="s">
        <v>255</v>
      </c>
      <c r="S65" s="53">
        <f t="shared" si="21"/>
        <v>0.02300410256</v>
      </c>
      <c r="T65" s="102">
        <v>0.81</v>
      </c>
      <c r="U65" s="102">
        <v>0.76</v>
      </c>
      <c r="W65" s="98"/>
      <c r="X65" s="16">
        <v>0.02</v>
      </c>
    </row>
    <row r="66">
      <c r="A66" s="15">
        <v>45859.0</v>
      </c>
      <c r="B66" s="97" t="s">
        <v>343</v>
      </c>
      <c r="C66" s="102">
        <v>0.16</v>
      </c>
      <c r="D66" s="102">
        <v>0.56</v>
      </c>
      <c r="E66" s="102">
        <v>0.35</v>
      </c>
      <c r="F66" s="97" t="s">
        <v>309</v>
      </c>
      <c r="G66" s="16">
        <v>0.1</v>
      </c>
      <c r="H66" s="97" t="s">
        <v>116</v>
      </c>
      <c r="I66" s="97" t="s">
        <v>113</v>
      </c>
      <c r="J66" s="15">
        <v>45884.0</v>
      </c>
      <c r="K66" s="98">
        <v>100.0</v>
      </c>
      <c r="L66" s="16">
        <v>1.0</v>
      </c>
      <c r="M66" s="16">
        <v>196.0</v>
      </c>
      <c r="N66" s="16">
        <v>0.01</v>
      </c>
      <c r="O66" s="34">
        <f t="shared" si="19"/>
        <v>195.99</v>
      </c>
      <c r="Q66" s="145">
        <f t="shared" si="20"/>
        <v>195.99</v>
      </c>
      <c r="R66" s="16" t="s">
        <v>280</v>
      </c>
      <c r="S66" s="53">
        <f t="shared" si="21"/>
        <v>0.019599</v>
      </c>
      <c r="T66" s="102">
        <v>0.83</v>
      </c>
      <c r="U66" s="102">
        <v>0.79</v>
      </c>
      <c r="W66" s="98"/>
      <c r="X66" s="16">
        <v>0.02</v>
      </c>
    </row>
    <row r="67">
      <c r="A67" s="15">
        <v>45859.0</v>
      </c>
      <c r="B67" s="97" t="s">
        <v>62</v>
      </c>
      <c r="C67" s="102">
        <v>0.16</v>
      </c>
      <c r="D67" s="102">
        <v>1.25</v>
      </c>
      <c r="E67" s="102">
        <v>1.23</v>
      </c>
      <c r="F67" s="97" t="s">
        <v>310</v>
      </c>
      <c r="G67" s="16">
        <v>0.05</v>
      </c>
      <c r="H67" s="97" t="s">
        <v>116</v>
      </c>
      <c r="I67" s="97" t="s">
        <v>113</v>
      </c>
      <c r="J67" s="15">
        <v>45884.0</v>
      </c>
      <c r="K67" s="98">
        <v>8.0</v>
      </c>
      <c r="L67" s="16">
        <v>4.0</v>
      </c>
      <c r="M67" s="16">
        <v>164.0</v>
      </c>
      <c r="N67" s="16">
        <v>1.37</v>
      </c>
      <c r="O67" s="34">
        <f t="shared" si="19"/>
        <v>162.63</v>
      </c>
      <c r="Q67" s="145">
        <f t="shared" si="20"/>
        <v>162.63</v>
      </c>
      <c r="R67" s="16" t="s">
        <v>280</v>
      </c>
      <c r="S67" s="53">
        <f t="shared" si="21"/>
        <v>0.050821875</v>
      </c>
      <c r="T67" s="102">
        <v>0.79</v>
      </c>
      <c r="U67" s="102">
        <v>0.74</v>
      </c>
      <c r="W67" s="98"/>
      <c r="X67" s="16">
        <v>0.05</v>
      </c>
    </row>
    <row r="68">
      <c r="A68" s="15">
        <v>45859.0</v>
      </c>
      <c r="B68" s="97" t="s">
        <v>344</v>
      </c>
      <c r="C68" s="102">
        <v>0.16</v>
      </c>
      <c r="D68" s="102">
        <v>0.37</v>
      </c>
      <c r="E68" s="102">
        <v>0.21</v>
      </c>
      <c r="F68" s="97" t="s">
        <v>309</v>
      </c>
      <c r="G68" s="16">
        <v>0.1</v>
      </c>
      <c r="H68" s="97" t="s">
        <v>116</v>
      </c>
      <c r="I68" s="97" t="s">
        <v>113</v>
      </c>
      <c r="J68" s="15">
        <v>45884.0</v>
      </c>
      <c r="K68" s="98">
        <v>95.0</v>
      </c>
      <c r="L68" s="16">
        <v>1.0</v>
      </c>
      <c r="M68" s="16">
        <v>114.0</v>
      </c>
      <c r="N68" s="16">
        <v>0.26</v>
      </c>
      <c r="O68" s="34">
        <f t="shared" si="19"/>
        <v>113.74</v>
      </c>
      <c r="Q68" s="145">
        <f t="shared" si="20"/>
        <v>113.74</v>
      </c>
      <c r="R68" s="16" t="s">
        <v>280</v>
      </c>
      <c r="S68" s="53">
        <f t="shared" si="21"/>
        <v>0.01197263158</v>
      </c>
      <c r="T68" s="102">
        <v>0.85</v>
      </c>
      <c r="U68" s="102">
        <v>0.82</v>
      </c>
      <c r="W68" s="98"/>
      <c r="X68" s="16">
        <v>0.01</v>
      </c>
    </row>
    <row r="69">
      <c r="A69" s="15"/>
      <c r="B69" s="155"/>
      <c r="D69" s="102"/>
      <c r="E69" s="102"/>
      <c r="F69" s="97"/>
      <c r="H69" s="103"/>
      <c r="I69" s="97"/>
      <c r="K69" s="98"/>
      <c r="O69" s="34"/>
      <c r="Q69" s="70"/>
      <c r="S69" s="102"/>
      <c r="T69" s="102"/>
      <c r="U69" s="102"/>
      <c r="W69" s="98"/>
      <c r="X69" s="61"/>
    </row>
    <row r="70">
      <c r="A70" s="15">
        <v>45868.0</v>
      </c>
      <c r="B70" s="97" t="s">
        <v>54</v>
      </c>
      <c r="C70" s="53">
        <v>0.16</v>
      </c>
      <c r="D70" s="102">
        <v>0.27</v>
      </c>
      <c r="E70" s="102">
        <v>0.27</v>
      </c>
      <c r="F70" s="97" t="s">
        <v>310</v>
      </c>
      <c r="G70" s="16">
        <v>0.1</v>
      </c>
      <c r="H70" s="97" t="s">
        <v>112</v>
      </c>
      <c r="I70" s="97" t="s">
        <v>113</v>
      </c>
      <c r="J70" s="15">
        <v>45919.0</v>
      </c>
      <c r="K70" s="98">
        <v>195.0</v>
      </c>
      <c r="L70" s="16">
        <v>1.0</v>
      </c>
      <c r="M70" s="16">
        <v>31.0</v>
      </c>
      <c r="N70" s="16">
        <v>1.41</v>
      </c>
      <c r="O70" s="34">
        <f t="shared" ref="O70:O82" si="22">M70-N70</f>
        <v>29.59</v>
      </c>
      <c r="Q70" s="156">
        <f t="shared" ref="Q70:Q82" si="23">sum(O70:P70)</f>
        <v>29.59</v>
      </c>
      <c r="R70" s="16" t="s">
        <v>345</v>
      </c>
      <c r="S70" s="53">
        <f t="shared" ref="S70:S82" si="24">Q70/(K70*100*L70)</f>
        <v>0.001517435897</v>
      </c>
      <c r="T70" s="102">
        <v>0.63</v>
      </c>
      <c r="U70" s="102">
        <v>0.44</v>
      </c>
      <c r="W70" s="98"/>
      <c r="X70" s="61"/>
    </row>
    <row r="71">
      <c r="A71" s="15">
        <v>45868.0</v>
      </c>
      <c r="B71" s="97" t="s">
        <v>63</v>
      </c>
      <c r="C71" s="102">
        <v>0.16</v>
      </c>
      <c r="D71" s="102">
        <v>0.39</v>
      </c>
      <c r="E71" s="102">
        <v>0.26</v>
      </c>
      <c r="F71" s="97" t="s">
        <v>309</v>
      </c>
      <c r="G71" s="16">
        <v>0.1</v>
      </c>
      <c r="H71" s="97" t="s">
        <v>112</v>
      </c>
      <c r="I71" s="97" t="s">
        <v>113</v>
      </c>
      <c r="J71" s="15">
        <v>45919.0</v>
      </c>
      <c r="K71" s="98">
        <v>185.0</v>
      </c>
      <c r="L71" s="16">
        <v>1.0</v>
      </c>
      <c r="M71" s="16">
        <v>64.0</v>
      </c>
      <c r="N71" s="16">
        <v>1.41</v>
      </c>
      <c r="O71" s="34">
        <f t="shared" si="22"/>
        <v>62.59</v>
      </c>
      <c r="Q71" s="145">
        <f t="shared" si="23"/>
        <v>62.59</v>
      </c>
      <c r="R71" s="16" t="s">
        <v>346</v>
      </c>
      <c r="S71" s="53">
        <f t="shared" si="24"/>
        <v>0.003383243243</v>
      </c>
      <c r="T71" s="102">
        <v>0.68</v>
      </c>
      <c r="U71" s="102">
        <v>0.56</v>
      </c>
      <c r="W71" s="98"/>
      <c r="X71" s="61"/>
    </row>
    <row r="72">
      <c r="A72" s="15">
        <v>45868.0</v>
      </c>
      <c r="B72" s="97" t="s">
        <v>58</v>
      </c>
      <c r="C72" s="102">
        <v>0.16</v>
      </c>
      <c r="D72" s="102">
        <v>0.68</v>
      </c>
      <c r="E72" s="102">
        <v>0.37</v>
      </c>
      <c r="F72" s="97" t="s">
        <v>309</v>
      </c>
      <c r="G72" s="16">
        <v>0.1</v>
      </c>
      <c r="H72" s="97" t="s">
        <v>112</v>
      </c>
      <c r="I72" s="97" t="s">
        <v>113</v>
      </c>
      <c r="J72" s="15">
        <v>45919.0</v>
      </c>
      <c r="K72" s="98">
        <v>17.5</v>
      </c>
      <c r="L72" s="16">
        <v>4.0</v>
      </c>
      <c r="M72" s="16">
        <v>2.0</v>
      </c>
      <c r="N72" s="16">
        <v>6.66</v>
      </c>
      <c r="O72" s="34">
        <f t="shared" si="22"/>
        <v>-4.66</v>
      </c>
      <c r="Q72" s="156">
        <f t="shared" si="23"/>
        <v>-4.66</v>
      </c>
      <c r="R72" s="16" t="s">
        <v>347</v>
      </c>
      <c r="S72" s="53">
        <f t="shared" si="24"/>
        <v>-0.0006657142857</v>
      </c>
      <c r="T72" s="102">
        <v>0.75</v>
      </c>
      <c r="U72" s="102">
        <v>0.68</v>
      </c>
      <c r="W72" s="98"/>
      <c r="X72" s="61"/>
    </row>
    <row r="73">
      <c r="A73" s="15">
        <v>45814.0</v>
      </c>
      <c r="B73" s="97" t="s">
        <v>61</v>
      </c>
      <c r="C73" s="102">
        <v>0.17</v>
      </c>
      <c r="D73" s="102">
        <v>0.34</v>
      </c>
      <c r="E73" s="102">
        <v>0.44</v>
      </c>
      <c r="F73" s="97" t="s">
        <v>309</v>
      </c>
      <c r="H73" s="97" t="s">
        <v>112</v>
      </c>
      <c r="I73" s="97" t="s">
        <v>113</v>
      </c>
      <c r="J73" s="15">
        <v>45919.0</v>
      </c>
      <c r="K73" s="98">
        <v>240.0</v>
      </c>
      <c r="L73" s="16">
        <v>1.0</v>
      </c>
      <c r="M73" s="16">
        <v>541.0</v>
      </c>
      <c r="N73" s="16">
        <v>2.12</v>
      </c>
      <c r="O73" s="34">
        <f t="shared" si="22"/>
        <v>538.88</v>
      </c>
      <c r="Q73" s="145">
        <f t="shared" si="23"/>
        <v>538.88</v>
      </c>
      <c r="R73" s="16" t="s">
        <v>348</v>
      </c>
      <c r="S73" s="53">
        <f t="shared" si="24"/>
        <v>0.02245333333</v>
      </c>
      <c r="T73" s="102"/>
      <c r="U73" s="102"/>
      <c r="W73" s="98"/>
      <c r="X73" s="61"/>
    </row>
    <row r="74">
      <c r="A74" s="15">
        <v>45859.0</v>
      </c>
      <c r="B74" s="97" t="s">
        <v>341</v>
      </c>
      <c r="C74" s="102">
        <v>0.1768</v>
      </c>
      <c r="D74" s="102">
        <v>0.46</v>
      </c>
      <c r="E74" s="102">
        <v>0.53</v>
      </c>
      <c r="F74" s="97" t="s">
        <v>310</v>
      </c>
      <c r="G74" s="16">
        <v>0.1</v>
      </c>
      <c r="H74" s="97" t="s">
        <v>116</v>
      </c>
      <c r="I74" s="97" t="s">
        <v>113</v>
      </c>
      <c r="J74" s="15">
        <v>45919.0</v>
      </c>
      <c r="K74" s="98">
        <v>50.0</v>
      </c>
      <c r="L74" s="16">
        <v>1.0</v>
      </c>
      <c r="M74" s="16">
        <v>0.0</v>
      </c>
      <c r="N74" s="16">
        <v>0.81</v>
      </c>
      <c r="O74" s="34">
        <f t="shared" si="22"/>
        <v>-0.81</v>
      </c>
      <c r="P74" s="16">
        <v>-322.33</v>
      </c>
      <c r="Q74" s="156">
        <f t="shared" si="23"/>
        <v>-323.14</v>
      </c>
      <c r="R74" s="16" t="s">
        <v>349</v>
      </c>
      <c r="S74" s="53">
        <f t="shared" si="24"/>
        <v>-0.064628</v>
      </c>
      <c r="T74" s="102">
        <v>0.61</v>
      </c>
      <c r="U74" s="102">
        <v>0.4</v>
      </c>
      <c r="W74" s="98"/>
      <c r="X74" s="16">
        <v>0.03</v>
      </c>
    </row>
    <row r="75">
      <c r="A75" s="15">
        <v>45841.0</v>
      </c>
      <c r="B75" s="97" t="s">
        <v>60</v>
      </c>
      <c r="C75" s="53">
        <v>0.1577</v>
      </c>
      <c r="D75" s="102">
        <v>0.25</v>
      </c>
      <c r="E75" s="102">
        <v>0.25</v>
      </c>
      <c r="F75" s="97" t="s">
        <v>310</v>
      </c>
      <c r="G75" s="16">
        <v>0.04</v>
      </c>
      <c r="H75" s="97" t="s">
        <v>112</v>
      </c>
      <c r="I75" s="97" t="s">
        <v>113</v>
      </c>
      <c r="J75" s="15">
        <v>45919.0</v>
      </c>
      <c r="K75" s="98">
        <v>210.0</v>
      </c>
      <c r="L75" s="16">
        <v>1.0</v>
      </c>
      <c r="M75" s="16">
        <v>254.0</v>
      </c>
      <c r="N75" s="16">
        <v>1.41</v>
      </c>
      <c r="O75" s="34">
        <f t="shared" si="22"/>
        <v>252.59</v>
      </c>
      <c r="Q75" s="145">
        <f t="shared" si="23"/>
        <v>252.59</v>
      </c>
      <c r="R75" s="16" t="s">
        <v>350</v>
      </c>
      <c r="S75" s="53">
        <f t="shared" si="24"/>
        <v>0.01202809524</v>
      </c>
      <c r="T75" s="102">
        <v>0.57</v>
      </c>
      <c r="U75" s="102">
        <v>0.14</v>
      </c>
      <c r="W75" s="98"/>
      <c r="X75" s="61"/>
    </row>
    <row r="76">
      <c r="A76" s="15">
        <v>45706.0</v>
      </c>
      <c r="B76" s="97" t="s">
        <v>327</v>
      </c>
      <c r="C76" s="53">
        <v>0.1533</v>
      </c>
      <c r="D76" s="102">
        <v>0.42</v>
      </c>
      <c r="E76" s="53">
        <v>0.438</v>
      </c>
      <c r="F76" s="97" t="s">
        <v>310</v>
      </c>
      <c r="G76" s="16">
        <v>0.06</v>
      </c>
      <c r="H76" s="97" t="s">
        <v>116</v>
      </c>
      <c r="I76" s="97" t="s">
        <v>113</v>
      </c>
      <c r="J76" s="15">
        <v>45919.0</v>
      </c>
      <c r="K76" s="98">
        <v>112.0</v>
      </c>
      <c r="L76" s="16">
        <v>1.0</v>
      </c>
      <c r="M76" s="16">
        <v>213.0</v>
      </c>
      <c r="N76" s="16">
        <v>0.8</v>
      </c>
      <c r="O76" s="34">
        <f t="shared" si="22"/>
        <v>212.2</v>
      </c>
      <c r="Q76" s="145">
        <f t="shared" si="23"/>
        <v>212.2</v>
      </c>
      <c r="R76" s="16" t="s">
        <v>288</v>
      </c>
      <c r="S76" s="53">
        <f t="shared" si="24"/>
        <v>0.01894642857</v>
      </c>
      <c r="T76" s="102">
        <v>0.82</v>
      </c>
      <c r="U76" s="102">
        <v>0.78</v>
      </c>
      <c r="W76" s="98"/>
      <c r="X76" s="16">
        <v>0.02</v>
      </c>
    </row>
    <row r="77">
      <c r="A77" s="15">
        <v>45706.0</v>
      </c>
      <c r="B77" s="97" t="s">
        <v>77</v>
      </c>
      <c r="C77" s="53">
        <v>0.1533</v>
      </c>
      <c r="D77" s="102">
        <v>0.305</v>
      </c>
      <c r="E77" s="102">
        <v>0.35</v>
      </c>
      <c r="F77" s="97" t="s">
        <v>310</v>
      </c>
      <c r="G77" s="16">
        <v>0.03</v>
      </c>
      <c r="H77" s="97" t="s">
        <v>112</v>
      </c>
      <c r="I77" s="97" t="s">
        <v>113</v>
      </c>
      <c r="J77" s="15">
        <v>45919.0</v>
      </c>
      <c r="K77" s="98">
        <v>73.0</v>
      </c>
      <c r="L77" s="16">
        <v>1.0</v>
      </c>
      <c r="M77" s="16">
        <v>110.0</v>
      </c>
      <c r="N77" s="16">
        <v>1.05</v>
      </c>
      <c r="O77" s="34">
        <f t="shared" si="22"/>
        <v>108.95</v>
      </c>
      <c r="Q77" s="156">
        <f t="shared" si="23"/>
        <v>108.95</v>
      </c>
      <c r="R77" s="16" t="s">
        <v>255</v>
      </c>
      <c r="S77" s="53">
        <f t="shared" si="24"/>
        <v>0.01492465753</v>
      </c>
      <c r="T77" s="102">
        <v>0.78</v>
      </c>
      <c r="U77" s="102">
        <v>0.73</v>
      </c>
      <c r="W77" s="98"/>
      <c r="X77" s="61"/>
    </row>
    <row r="78">
      <c r="A78" s="15">
        <v>45706.0</v>
      </c>
      <c r="B78" s="97" t="s">
        <v>59</v>
      </c>
      <c r="C78" s="53">
        <v>0.1533</v>
      </c>
      <c r="D78" s="16">
        <v>38.2</v>
      </c>
      <c r="E78" s="102">
        <v>0.82</v>
      </c>
      <c r="F78" s="97" t="s">
        <v>310</v>
      </c>
      <c r="G78" s="16">
        <v>0.1</v>
      </c>
      <c r="H78" s="97" t="s">
        <v>112</v>
      </c>
      <c r="I78" s="97" t="s">
        <v>113</v>
      </c>
      <c r="J78" s="15">
        <v>45919.0</v>
      </c>
      <c r="K78" s="98">
        <v>77.5</v>
      </c>
      <c r="L78" s="16">
        <v>1.0</v>
      </c>
      <c r="M78" s="16">
        <v>144.0</v>
      </c>
      <c r="N78" s="16">
        <v>0.0</v>
      </c>
      <c r="O78" s="34">
        <f t="shared" si="22"/>
        <v>144</v>
      </c>
      <c r="Q78" s="145">
        <f t="shared" si="23"/>
        <v>144</v>
      </c>
      <c r="R78" s="16" t="s">
        <v>288</v>
      </c>
      <c r="S78" s="53">
        <f t="shared" si="24"/>
        <v>0.01858064516</v>
      </c>
      <c r="T78" s="102">
        <v>0.79</v>
      </c>
      <c r="U78" s="102">
        <v>0.74</v>
      </c>
      <c r="W78" s="98"/>
      <c r="X78" s="16">
        <v>0.02</v>
      </c>
    </row>
    <row r="79">
      <c r="A79" s="15">
        <v>45707.0</v>
      </c>
      <c r="B79" s="97" t="s">
        <v>62</v>
      </c>
      <c r="C79" s="53">
        <v>0.158</v>
      </c>
      <c r="D79" s="102">
        <v>0.97</v>
      </c>
      <c r="E79" s="102">
        <v>1.13</v>
      </c>
      <c r="F79" s="97" t="s">
        <v>310</v>
      </c>
      <c r="G79" s="16">
        <v>0.05</v>
      </c>
      <c r="H79" s="97" t="s">
        <v>112</v>
      </c>
      <c r="I79" s="97" t="s">
        <v>113</v>
      </c>
      <c r="J79" s="15">
        <v>45919.0</v>
      </c>
      <c r="K79" s="98">
        <v>7.5</v>
      </c>
      <c r="L79" s="16">
        <v>4.0</v>
      </c>
      <c r="M79" s="16">
        <v>156.0</v>
      </c>
      <c r="N79" s="16">
        <v>1.38</v>
      </c>
      <c r="O79" s="34">
        <f t="shared" si="22"/>
        <v>154.62</v>
      </c>
      <c r="Q79" s="145">
        <f t="shared" si="23"/>
        <v>154.62</v>
      </c>
      <c r="R79" s="16" t="s">
        <v>288</v>
      </c>
      <c r="S79" s="53">
        <f t="shared" si="24"/>
        <v>0.05154</v>
      </c>
      <c r="T79" s="102">
        <v>0.77</v>
      </c>
      <c r="U79" s="102">
        <v>0.71</v>
      </c>
      <c r="W79" s="98"/>
      <c r="X79" s="16">
        <v>0.06</v>
      </c>
    </row>
    <row r="80">
      <c r="A80" s="15">
        <v>45707.0</v>
      </c>
      <c r="B80" s="97" t="s">
        <v>344</v>
      </c>
      <c r="C80" s="53">
        <v>0.158</v>
      </c>
      <c r="D80" s="53">
        <v>0.304</v>
      </c>
      <c r="E80" s="102">
        <v>0.389</v>
      </c>
      <c r="F80" s="97" t="s">
        <v>310</v>
      </c>
      <c r="G80" s="16">
        <v>0.15</v>
      </c>
      <c r="H80" s="97" t="s">
        <v>116</v>
      </c>
      <c r="I80" s="97" t="s">
        <v>113</v>
      </c>
      <c r="J80" s="15">
        <v>45919.0</v>
      </c>
      <c r="K80" s="98">
        <v>105.0</v>
      </c>
      <c r="L80" s="16">
        <v>1.0</v>
      </c>
      <c r="M80" s="16">
        <v>191.0</v>
      </c>
      <c r="N80" s="16">
        <v>0.25</v>
      </c>
      <c r="O80" s="34">
        <f t="shared" si="22"/>
        <v>190.75</v>
      </c>
      <c r="Q80" s="145">
        <f t="shared" si="23"/>
        <v>190.75</v>
      </c>
      <c r="R80" s="16" t="s">
        <v>288</v>
      </c>
      <c r="S80" s="53">
        <f t="shared" si="24"/>
        <v>0.01816666667</v>
      </c>
      <c r="T80" s="102">
        <v>0.77</v>
      </c>
      <c r="U80" s="102">
        <v>0.7</v>
      </c>
      <c r="W80" s="98"/>
      <c r="X80" s="16">
        <v>0.02</v>
      </c>
    </row>
    <row r="81">
      <c r="A81" s="15">
        <v>45707.0</v>
      </c>
      <c r="B81" s="97" t="s">
        <v>351</v>
      </c>
      <c r="C81" s="53">
        <v>0.158</v>
      </c>
      <c r="D81" s="153">
        <v>0.427</v>
      </c>
      <c r="E81" s="53">
        <v>0.396</v>
      </c>
      <c r="F81" s="97" t="s">
        <v>310</v>
      </c>
      <c r="G81" s="16">
        <v>0.06</v>
      </c>
      <c r="H81" s="97" t="s">
        <v>116</v>
      </c>
      <c r="I81" s="97" t="s">
        <v>113</v>
      </c>
      <c r="J81" s="15">
        <v>45919.0</v>
      </c>
      <c r="K81" s="98">
        <v>68.0</v>
      </c>
      <c r="L81" s="16">
        <v>1.0</v>
      </c>
      <c r="M81" s="16">
        <v>128.0</v>
      </c>
      <c r="N81" s="16">
        <v>1.05</v>
      </c>
      <c r="O81" s="34">
        <f t="shared" si="22"/>
        <v>126.95</v>
      </c>
      <c r="Q81" s="145">
        <f t="shared" si="23"/>
        <v>126.95</v>
      </c>
      <c r="R81" s="16" t="s">
        <v>288</v>
      </c>
      <c r="S81" s="53">
        <f t="shared" si="24"/>
        <v>0.01866911765</v>
      </c>
      <c r="T81" s="102">
        <v>0.81</v>
      </c>
      <c r="U81" s="102">
        <v>0.76</v>
      </c>
      <c r="W81" s="98"/>
      <c r="X81" s="61"/>
    </row>
    <row r="82">
      <c r="A82" s="15">
        <v>45707.0</v>
      </c>
      <c r="B82" s="97" t="s">
        <v>352</v>
      </c>
      <c r="C82" s="53">
        <v>0.158</v>
      </c>
      <c r="D82" s="102">
        <v>0.62</v>
      </c>
      <c r="E82" s="102">
        <v>0.32</v>
      </c>
      <c r="F82" s="97" t="s">
        <v>309</v>
      </c>
      <c r="G82" s="16">
        <v>0.05</v>
      </c>
      <c r="H82" s="97" t="s">
        <v>116</v>
      </c>
      <c r="I82" s="97" t="s">
        <v>113</v>
      </c>
      <c r="J82" s="15">
        <v>45919.0</v>
      </c>
      <c r="K82" s="98">
        <v>50.0</v>
      </c>
      <c r="L82" s="16">
        <v>1.0</v>
      </c>
      <c r="M82" s="16">
        <v>131.0</v>
      </c>
      <c r="N82" s="16">
        <v>0.0</v>
      </c>
      <c r="O82" s="34">
        <f t="shared" si="22"/>
        <v>131</v>
      </c>
      <c r="Q82" s="145">
        <f t="shared" si="23"/>
        <v>131</v>
      </c>
      <c r="R82" s="16" t="s">
        <v>288</v>
      </c>
      <c r="S82" s="53">
        <f t="shared" si="24"/>
        <v>0.0262</v>
      </c>
      <c r="T82" s="102">
        <v>0.82</v>
      </c>
      <c r="U82" s="102">
        <v>0.78</v>
      </c>
      <c r="W82" s="98"/>
      <c r="X82" s="16">
        <v>0.03</v>
      </c>
    </row>
    <row r="83">
      <c r="A83" s="15"/>
      <c r="B83" s="97"/>
      <c r="D83" s="102"/>
      <c r="E83" s="102"/>
      <c r="F83" s="97"/>
      <c r="H83" s="97"/>
      <c r="I83" s="97"/>
      <c r="J83" s="15"/>
      <c r="K83" s="98"/>
      <c r="O83" s="34"/>
      <c r="Q83" s="70"/>
      <c r="S83" s="102"/>
      <c r="T83" s="102"/>
      <c r="U83" s="102"/>
      <c r="W83" s="98"/>
      <c r="X83" s="61"/>
    </row>
    <row r="84">
      <c r="A84" s="15">
        <v>45922.0</v>
      </c>
      <c r="B84" s="97" t="s">
        <v>63</v>
      </c>
      <c r="C84" s="53">
        <v>0.1586</v>
      </c>
      <c r="D84" s="102">
        <v>0.34</v>
      </c>
      <c r="E84" s="102">
        <v>0.32</v>
      </c>
      <c r="F84" s="97" t="s">
        <v>310</v>
      </c>
      <c r="G84" s="16">
        <v>0.02</v>
      </c>
      <c r="H84" s="97" t="s">
        <v>112</v>
      </c>
      <c r="I84" s="97" t="s">
        <v>113</v>
      </c>
      <c r="J84" s="15">
        <v>45947.0</v>
      </c>
      <c r="K84" s="98">
        <v>190.0</v>
      </c>
      <c r="L84" s="16">
        <v>1.0</v>
      </c>
      <c r="M84" s="16">
        <v>173.0</v>
      </c>
      <c r="N84" s="16">
        <v>1.05</v>
      </c>
      <c r="O84" s="34">
        <f t="shared" ref="O84:O94" si="25">M84-N84</f>
        <v>171.95</v>
      </c>
      <c r="Q84" s="145">
        <f t="shared" ref="Q84:Q94" si="26">sum(O84:P84)</f>
        <v>171.95</v>
      </c>
      <c r="R84" s="16" t="s">
        <v>288</v>
      </c>
      <c r="S84" s="53">
        <f t="shared" ref="S84:S94" si="27">Q84/(K84*100*L84)</f>
        <v>0.00905</v>
      </c>
      <c r="T84" s="102">
        <v>0.83</v>
      </c>
      <c r="U84" s="102">
        <v>0.8</v>
      </c>
      <c r="W84" s="98"/>
      <c r="X84" s="61"/>
    </row>
    <row r="85">
      <c r="A85" s="15">
        <v>45922.0</v>
      </c>
      <c r="B85" s="97" t="s">
        <v>59</v>
      </c>
      <c r="C85" s="53">
        <v>0.1586</v>
      </c>
      <c r="D85" s="102">
        <v>0.41</v>
      </c>
      <c r="E85" s="102">
        <v>0.38</v>
      </c>
      <c r="F85" s="97" t="s">
        <v>310</v>
      </c>
      <c r="G85" s="16">
        <v>0.2</v>
      </c>
      <c r="H85" s="97" t="s">
        <v>112</v>
      </c>
      <c r="I85" s="97" t="s">
        <v>113</v>
      </c>
      <c r="J85" s="15">
        <v>45947.0</v>
      </c>
      <c r="K85" s="98">
        <v>85.0</v>
      </c>
      <c r="L85" s="16">
        <v>1.0</v>
      </c>
      <c r="M85" s="16">
        <v>99.0</v>
      </c>
      <c r="N85" s="16">
        <v>0.0</v>
      </c>
      <c r="O85" s="34">
        <f t="shared" si="25"/>
        <v>99</v>
      </c>
      <c r="Q85" s="145">
        <f t="shared" si="26"/>
        <v>99</v>
      </c>
      <c r="R85" s="16" t="s">
        <v>288</v>
      </c>
      <c r="S85" s="53">
        <f t="shared" si="27"/>
        <v>0.01164705882</v>
      </c>
      <c r="T85" s="102">
        <v>0.82</v>
      </c>
      <c r="U85" s="102">
        <v>0.79</v>
      </c>
      <c r="W85" s="98"/>
      <c r="X85" s="61"/>
    </row>
    <row r="86">
      <c r="A86" s="15">
        <v>45922.0</v>
      </c>
      <c r="B86" s="97" t="s">
        <v>78</v>
      </c>
      <c r="C86" s="53">
        <v>0.1586</v>
      </c>
      <c r="D86" s="102">
        <v>0.32</v>
      </c>
      <c r="E86" s="102">
        <v>0.32</v>
      </c>
      <c r="F86" s="97" t="s">
        <v>310</v>
      </c>
      <c r="G86" s="16">
        <v>0.08</v>
      </c>
      <c r="H86" s="97" t="s">
        <v>112</v>
      </c>
      <c r="I86" s="97" t="s">
        <v>113</v>
      </c>
      <c r="J86" s="15">
        <v>45947.0</v>
      </c>
      <c r="K86" s="98">
        <v>90.0</v>
      </c>
      <c r="L86" s="16">
        <v>1.0</v>
      </c>
      <c r="M86" s="16">
        <v>98.0</v>
      </c>
      <c r="N86" s="16">
        <v>0.8</v>
      </c>
      <c r="O86" s="34">
        <f t="shared" si="25"/>
        <v>97.2</v>
      </c>
      <c r="Q86" s="145">
        <f t="shared" si="26"/>
        <v>97.2</v>
      </c>
      <c r="R86" s="16" t="s">
        <v>288</v>
      </c>
      <c r="S86" s="53">
        <f t="shared" si="27"/>
        <v>0.0108</v>
      </c>
      <c r="T86" s="102">
        <v>0.81</v>
      </c>
      <c r="U86" s="102">
        <v>0.77</v>
      </c>
      <c r="W86" s="98"/>
      <c r="X86" s="61"/>
    </row>
    <row r="87">
      <c r="A87" s="15">
        <v>45922.0</v>
      </c>
      <c r="B87" s="97" t="s">
        <v>58</v>
      </c>
      <c r="C87" s="53">
        <v>0.1586</v>
      </c>
      <c r="D87" s="102">
        <v>0.46</v>
      </c>
      <c r="E87" s="102">
        <v>0.51</v>
      </c>
      <c r="F87" s="97" t="s">
        <v>310</v>
      </c>
      <c r="G87" s="16">
        <v>0.05</v>
      </c>
      <c r="H87" s="97" t="s">
        <v>112</v>
      </c>
      <c r="I87" s="97" t="s">
        <v>113</v>
      </c>
      <c r="J87" s="15">
        <v>45947.0</v>
      </c>
      <c r="K87" s="98">
        <v>15.5</v>
      </c>
      <c r="L87" s="16">
        <v>4.0</v>
      </c>
      <c r="M87" s="16">
        <v>124.0</v>
      </c>
      <c r="N87" s="16">
        <v>1.39</v>
      </c>
      <c r="O87" s="34">
        <f t="shared" si="25"/>
        <v>122.61</v>
      </c>
      <c r="Q87" s="145">
        <f t="shared" si="26"/>
        <v>122.61</v>
      </c>
      <c r="R87" s="16" t="s">
        <v>288</v>
      </c>
      <c r="S87" s="53">
        <f t="shared" si="27"/>
        <v>0.01977580645</v>
      </c>
      <c r="T87" s="102">
        <v>0.76</v>
      </c>
      <c r="U87" s="102">
        <v>0.71</v>
      </c>
      <c r="W87" s="98"/>
      <c r="X87" s="61"/>
    </row>
    <row r="88">
      <c r="A88" s="15">
        <v>45922.0</v>
      </c>
      <c r="B88" s="97" t="s">
        <v>353</v>
      </c>
      <c r="C88" s="53">
        <v>0.1586</v>
      </c>
      <c r="D88" s="102">
        <v>0.44</v>
      </c>
      <c r="E88" s="102">
        <v>0.38</v>
      </c>
      <c r="F88" s="97" t="s">
        <v>310</v>
      </c>
      <c r="G88" s="16">
        <v>0.15</v>
      </c>
      <c r="H88" s="97" t="s">
        <v>116</v>
      </c>
      <c r="I88" s="97" t="s">
        <v>113</v>
      </c>
      <c r="J88" s="15">
        <v>45947.0</v>
      </c>
      <c r="K88" s="98">
        <v>120.0</v>
      </c>
      <c r="L88" s="16">
        <v>1.0</v>
      </c>
      <c r="M88" s="16">
        <v>201.0</v>
      </c>
      <c r="N88" s="16">
        <v>0.0</v>
      </c>
      <c r="O88" s="34">
        <f t="shared" si="25"/>
        <v>201</v>
      </c>
      <c r="Q88" s="145">
        <f t="shared" si="26"/>
        <v>201</v>
      </c>
      <c r="R88" s="16" t="s">
        <v>288</v>
      </c>
      <c r="S88" s="53">
        <f t="shared" si="27"/>
        <v>0.01675</v>
      </c>
      <c r="T88" s="102">
        <v>0.82</v>
      </c>
      <c r="U88" s="102">
        <v>0.78</v>
      </c>
      <c r="W88" s="98"/>
      <c r="X88" s="16">
        <v>0.02</v>
      </c>
    </row>
    <row r="89">
      <c r="A89" s="15">
        <v>45922.0</v>
      </c>
      <c r="B89" s="97" t="s">
        <v>62</v>
      </c>
      <c r="C89" s="53">
        <v>0.1586</v>
      </c>
      <c r="D89" s="102">
        <v>1.2</v>
      </c>
      <c r="E89" s="102">
        <v>1.0</v>
      </c>
      <c r="F89" s="97" t="s">
        <v>310</v>
      </c>
      <c r="G89" s="16">
        <v>0.05</v>
      </c>
      <c r="H89" s="97" t="s">
        <v>116</v>
      </c>
      <c r="I89" s="97" t="s">
        <v>113</v>
      </c>
      <c r="J89" s="15">
        <v>45947.0</v>
      </c>
      <c r="K89" s="98">
        <v>9.5</v>
      </c>
      <c r="L89" s="16">
        <v>4.0</v>
      </c>
      <c r="M89" s="16">
        <v>224.0</v>
      </c>
      <c r="N89" s="16">
        <v>0.39</v>
      </c>
      <c r="O89" s="34">
        <f t="shared" si="25"/>
        <v>223.61</v>
      </c>
      <c r="Q89" s="145">
        <f t="shared" si="26"/>
        <v>223.61</v>
      </c>
      <c r="R89" s="16" t="s">
        <v>288</v>
      </c>
      <c r="S89" s="53">
        <f t="shared" si="27"/>
        <v>0.05884473684</v>
      </c>
      <c r="T89" s="102">
        <v>0.76</v>
      </c>
      <c r="U89" s="102">
        <v>0.7</v>
      </c>
      <c r="W89" s="98"/>
      <c r="X89" s="61"/>
    </row>
    <row r="90">
      <c r="A90" s="15">
        <v>45922.0</v>
      </c>
      <c r="B90" s="97" t="s">
        <v>354</v>
      </c>
      <c r="C90" s="53">
        <v>0.1586</v>
      </c>
      <c r="D90" s="102">
        <v>0.487</v>
      </c>
      <c r="E90" s="102">
        <v>0.35</v>
      </c>
      <c r="F90" s="97" t="s">
        <v>310</v>
      </c>
      <c r="G90" s="16">
        <v>0.2</v>
      </c>
      <c r="H90" s="97" t="s">
        <v>116</v>
      </c>
      <c r="I90" s="97" t="s">
        <v>113</v>
      </c>
      <c r="J90" s="15">
        <v>45947.0</v>
      </c>
      <c r="K90" s="98">
        <v>55.0</v>
      </c>
      <c r="L90" s="16">
        <v>2.0</v>
      </c>
      <c r="M90" s="16">
        <v>168.0</v>
      </c>
      <c r="N90" s="16">
        <v>0.69</v>
      </c>
      <c r="O90" s="34">
        <f t="shared" si="25"/>
        <v>167.31</v>
      </c>
      <c r="Q90" s="145">
        <f t="shared" si="26"/>
        <v>167.31</v>
      </c>
      <c r="R90" s="16" t="s">
        <v>288</v>
      </c>
      <c r="S90" s="53">
        <f t="shared" si="27"/>
        <v>0.01521</v>
      </c>
      <c r="T90" s="102">
        <v>0.83</v>
      </c>
      <c r="U90" s="102">
        <v>0.8</v>
      </c>
      <c r="W90" s="98"/>
      <c r="X90" s="16">
        <v>0.02</v>
      </c>
    </row>
    <row r="91">
      <c r="A91" s="15">
        <v>45922.0</v>
      </c>
      <c r="B91" s="157" t="s">
        <v>355</v>
      </c>
      <c r="C91" s="53">
        <v>0.1586</v>
      </c>
      <c r="D91" s="102">
        <v>0.5</v>
      </c>
      <c r="E91" s="102">
        <v>0.43</v>
      </c>
      <c r="F91" s="97" t="s">
        <v>310</v>
      </c>
      <c r="G91" s="16">
        <v>0.04</v>
      </c>
      <c r="H91" s="97" t="s">
        <v>116</v>
      </c>
      <c r="I91" s="97" t="s">
        <v>113</v>
      </c>
      <c r="J91" s="15">
        <v>45947.0</v>
      </c>
      <c r="K91" s="98">
        <v>47.0</v>
      </c>
      <c r="L91" s="16">
        <v>2.0</v>
      </c>
      <c r="M91" s="16">
        <v>200.0</v>
      </c>
      <c r="N91" s="16">
        <v>0.91</v>
      </c>
      <c r="O91" s="34">
        <f t="shared" si="25"/>
        <v>199.09</v>
      </c>
      <c r="Q91" s="145">
        <f t="shared" si="26"/>
        <v>199.09</v>
      </c>
      <c r="R91" s="16" t="s">
        <v>288</v>
      </c>
      <c r="S91" s="53">
        <f t="shared" si="27"/>
        <v>0.02117978723</v>
      </c>
      <c r="T91" s="102">
        <v>0.8</v>
      </c>
      <c r="U91" s="102">
        <v>0.75</v>
      </c>
      <c r="W91" s="98"/>
      <c r="X91" s="16">
        <v>0.02</v>
      </c>
    </row>
    <row r="92">
      <c r="A92" s="15">
        <v>45923.0</v>
      </c>
      <c r="B92" s="97" t="s">
        <v>356</v>
      </c>
      <c r="C92" s="53">
        <v>0.163</v>
      </c>
      <c r="D92" s="102">
        <v>0.42</v>
      </c>
      <c r="E92" s="102">
        <v>0.36</v>
      </c>
      <c r="F92" s="97" t="s">
        <v>310</v>
      </c>
      <c r="G92" s="16">
        <v>0.1</v>
      </c>
      <c r="H92" s="97" t="s">
        <v>116</v>
      </c>
      <c r="I92" s="97" t="s">
        <v>113</v>
      </c>
      <c r="J92" s="15">
        <v>45947.0</v>
      </c>
      <c r="K92" s="98">
        <v>35.5</v>
      </c>
      <c r="L92" s="16">
        <v>2.0</v>
      </c>
      <c r="M92" s="16">
        <v>120.0</v>
      </c>
      <c r="N92" s="16">
        <v>0.19</v>
      </c>
      <c r="O92" s="34">
        <f t="shared" si="25"/>
        <v>119.81</v>
      </c>
      <c r="Q92" s="145">
        <f t="shared" si="26"/>
        <v>119.81</v>
      </c>
      <c r="R92" s="16" t="s">
        <v>288</v>
      </c>
      <c r="S92" s="53">
        <f t="shared" si="27"/>
        <v>0.01687464789</v>
      </c>
      <c r="T92" s="102">
        <v>0.79</v>
      </c>
      <c r="U92" s="102"/>
      <c r="W92" s="98"/>
      <c r="X92" s="61"/>
    </row>
    <row r="93">
      <c r="A93" s="15">
        <v>45923.0</v>
      </c>
      <c r="B93" s="97" t="s">
        <v>357</v>
      </c>
      <c r="C93" s="53">
        <v>0.163</v>
      </c>
      <c r="D93" s="102">
        <v>0.59</v>
      </c>
      <c r="E93" s="102">
        <v>0.42</v>
      </c>
      <c r="F93" s="97" t="s">
        <v>310</v>
      </c>
      <c r="G93" s="16">
        <v>0.05</v>
      </c>
      <c r="H93" s="97" t="s">
        <v>116</v>
      </c>
      <c r="I93" s="97" t="s">
        <v>113</v>
      </c>
      <c r="J93" s="15">
        <v>45947.0</v>
      </c>
      <c r="K93" s="98">
        <v>21.0</v>
      </c>
      <c r="L93" s="16">
        <v>5.0</v>
      </c>
      <c r="M93" s="16">
        <v>200.0</v>
      </c>
      <c r="N93" s="16">
        <v>1.35</v>
      </c>
      <c r="O93" s="34">
        <f t="shared" si="25"/>
        <v>198.65</v>
      </c>
      <c r="Q93" s="145">
        <f t="shared" si="26"/>
        <v>198.65</v>
      </c>
      <c r="R93" s="16" t="s">
        <v>288</v>
      </c>
      <c r="S93" s="53">
        <f t="shared" si="27"/>
        <v>0.01891904762</v>
      </c>
      <c r="T93" s="102">
        <v>0.8</v>
      </c>
      <c r="U93" s="102"/>
      <c r="W93" s="98"/>
      <c r="X93" s="16">
        <v>0.02</v>
      </c>
    </row>
    <row r="94">
      <c r="A94" s="15">
        <v>45923.0</v>
      </c>
      <c r="B94" s="97" t="s">
        <v>358</v>
      </c>
      <c r="C94" s="53">
        <v>0.163</v>
      </c>
      <c r="D94" s="102">
        <v>0.38</v>
      </c>
      <c r="E94" s="102">
        <v>0.26</v>
      </c>
      <c r="F94" s="97" t="s">
        <v>310</v>
      </c>
      <c r="G94" s="16">
        <v>0.45</v>
      </c>
      <c r="H94" s="97" t="s">
        <v>116</v>
      </c>
      <c r="I94" s="97" t="s">
        <v>113</v>
      </c>
      <c r="J94" s="15">
        <v>45947.0</v>
      </c>
      <c r="K94" s="98">
        <v>92.5</v>
      </c>
      <c r="L94" s="16">
        <v>1.0</v>
      </c>
      <c r="M94" s="16">
        <v>145.0</v>
      </c>
      <c r="N94" s="16">
        <v>0.0</v>
      </c>
      <c r="O94" s="34">
        <f t="shared" si="25"/>
        <v>145</v>
      </c>
      <c r="Q94" s="145">
        <f t="shared" si="26"/>
        <v>145</v>
      </c>
      <c r="R94" s="16" t="s">
        <v>288</v>
      </c>
      <c r="S94" s="53">
        <f t="shared" si="27"/>
        <v>0.01567567568</v>
      </c>
      <c r="T94" s="102">
        <v>0.78</v>
      </c>
      <c r="U94" s="102"/>
      <c r="W94" s="98"/>
      <c r="X94" s="61"/>
    </row>
    <row r="95">
      <c r="A95" s="15"/>
      <c r="B95" s="97"/>
      <c r="D95" s="102"/>
      <c r="E95" s="102"/>
      <c r="F95" s="97"/>
      <c r="H95" s="97"/>
      <c r="I95" s="97"/>
      <c r="J95" s="15"/>
      <c r="K95" s="98"/>
      <c r="O95" s="34"/>
      <c r="Q95" s="70"/>
      <c r="S95" s="102"/>
      <c r="T95" s="102"/>
      <c r="U95" s="102"/>
      <c r="W95" s="98"/>
      <c r="X95" s="61"/>
    </row>
    <row r="96">
      <c r="A96" s="15">
        <v>45953.0</v>
      </c>
      <c r="B96" s="158" t="s">
        <v>356</v>
      </c>
      <c r="C96" s="102">
        <v>0.17</v>
      </c>
      <c r="D96" s="102">
        <v>0.57</v>
      </c>
      <c r="E96" s="102">
        <v>0.54</v>
      </c>
      <c r="F96" s="97" t="s">
        <v>310</v>
      </c>
      <c r="G96" s="16">
        <v>0.15</v>
      </c>
      <c r="H96" s="97" t="s">
        <v>116</v>
      </c>
      <c r="I96" s="97" t="s">
        <v>113</v>
      </c>
      <c r="J96" s="15">
        <v>45982.0</v>
      </c>
      <c r="K96" s="98">
        <v>32.0</v>
      </c>
      <c r="L96" s="16">
        <v>5.0</v>
      </c>
      <c r="M96" s="16">
        <v>350.0</v>
      </c>
      <c r="N96" s="16">
        <v>3.49</v>
      </c>
      <c r="O96" s="34">
        <f t="shared" ref="O96:O111" si="28">M96-N96</f>
        <v>346.51</v>
      </c>
      <c r="Q96" s="145">
        <f t="shared" ref="Q96:Q111" si="29">sum(O96:P96)</f>
        <v>346.51</v>
      </c>
      <c r="R96" s="16" t="s">
        <v>288</v>
      </c>
      <c r="S96" s="53">
        <f t="shared" ref="S96:S111" si="30">Q96/(K96*100*L96)</f>
        <v>0.021656875</v>
      </c>
      <c r="T96" s="102">
        <v>0.81</v>
      </c>
      <c r="U96" s="102">
        <v>0.78</v>
      </c>
      <c r="W96" s="98"/>
      <c r="X96" s="16">
        <v>0.02</v>
      </c>
    </row>
    <row r="97">
      <c r="A97" s="15">
        <v>45953.0</v>
      </c>
      <c r="B97" s="159" t="s">
        <v>77</v>
      </c>
      <c r="C97" s="102">
        <v>0.17</v>
      </c>
      <c r="D97" s="102">
        <v>0.518</v>
      </c>
      <c r="E97" s="102">
        <v>0.43</v>
      </c>
      <c r="F97" s="97" t="s">
        <v>309</v>
      </c>
      <c r="G97" s="16">
        <v>0.11</v>
      </c>
      <c r="H97" s="97" t="s">
        <v>116</v>
      </c>
      <c r="I97" s="97" t="s">
        <v>113</v>
      </c>
      <c r="J97" s="15">
        <v>45982.0</v>
      </c>
      <c r="K97" s="98">
        <v>81.0</v>
      </c>
      <c r="L97" s="16">
        <v>2.0</v>
      </c>
      <c r="M97" s="16">
        <v>360.0</v>
      </c>
      <c r="N97" s="16">
        <v>1.4</v>
      </c>
      <c r="O97" s="34">
        <f t="shared" si="28"/>
        <v>358.6</v>
      </c>
      <c r="Q97" s="145">
        <f t="shared" si="29"/>
        <v>358.6</v>
      </c>
      <c r="R97" s="16" t="s">
        <v>288</v>
      </c>
      <c r="S97" s="53">
        <f t="shared" si="30"/>
        <v>0.02213580247</v>
      </c>
      <c r="T97" s="102">
        <v>0.8</v>
      </c>
      <c r="U97" s="102">
        <v>0.75</v>
      </c>
      <c r="W97" s="98"/>
      <c r="X97" s="16">
        <v>0.02</v>
      </c>
    </row>
    <row r="98">
      <c r="A98" s="15">
        <v>45953.0</v>
      </c>
      <c r="B98" s="159" t="s">
        <v>359</v>
      </c>
      <c r="C98" s="102">
        <v>0.17</v>
      </c>
      <c r="D98" s="102">
        <v>0.628</v>
      </c>
      <c r="E98" s="160">
        <v>0.47</v>
      </c>
      <c r="F98" s="97" t="s">
        <v>309</v>
      </c>
      <c r="G98" s="16">
        <v>0.35</v>
      </c>
      <c r="H98" s="97" t="s">
        <v>116</v>
      </c>
      <c r="I98" s="97" t="s">
        <v>113</v>
      </c>
      <c r="J98" s="15">
        <v>45982.0</v>
      </c>
      <c r="K98" s="98">
        <v>65.0</v>
      </c>
      <c r="L98" s="16">
        <v>3.0</v>
      </c>
      <c r="M98" s="16">
        <v>522.0</v>
      </c>
      <c r="N98" s="16">
        <v>1.05</v>
      </c>
      <c r="O98" s="34">
        <f t="shared" si="28"/>
        <v>520.95</v>
      </c>
      <c r="Q98" s="145">
        <f t="shared" si="29"/>
        <v>520.95</v>
      </c>
      <c r="R98" s="16" t="s">
        <v>288</v>
      </c>
      <c r="S98" s="53">
        <f t="shared" si="30"/>
        <v>0.02671538462</v>
      </c>
      <c r="T98" s="102">
        <v>0.82</v>
      </c>
      <c r="U98" s="102">
        <v>0.78</v>
      </c>
      <c r="W98" s="98"/>
      <c r="X98" s="16">
        <v>0.03</v>
      </c>
    </row>
    <row r="99">
      <c r="A99" s="15">
        <v>45953.0</v>
      </c>
      <c r="B99" s="161" t="s">
        <v>73</v>
      </c>
      <c r="C99" s="102">
        <v>0.17</v>
      </c>
      <c r="D99" s="102">
        <v>0.39</v>
      </c>
      <c r="E99" s="102">
        <v>0.39</v>
      </c>
      <c r="F99" s="97" t="s">
        <v>310</v>
      </c>
      <c r="G99" s="16">
        <v>0.1</v>
      </c>
      <c r="H99" s="97" t="s">
        <v>116</v>
      </c>
      <c r="I99" s="97" t="s">
        <v>113</v>
      </c>
      <c r="J99" s="15">
        <v>45982.0</v>
      </c>
      <c r="K99" s="98">
        <v>62.0</v>
      </c>
      <c r="L99" s="16">
        <v>3.0</v>
      </c>
      <c r="M99" s="16">
        <v>297.0</v>
      </c>
      <c r="N99" s="16">
        <v>1.05</v>
      </c>
      <c r="O99" s="34">
        <f t="shared" si="28"/>
        <v>295.95</v>
      </c>
      <c r="Q99" s="145">
        <f t="shared" si="29"/>
        <v>295.95</v>
      </c>
      <c r="R99" s="44" t="s">
        <v>255</v>
      </c>
      <c r="S99" s="53">
        <f t="shared" si="30"/>
        <v>0.01591129032</v>
      </c>
      <c r="T99" s="102">
        <v>0.81</v>
      </c>
      <c r="U99" s="102">
        <v>0.77</v>
      </c>
      <c r="W99" s="98"/>
      <c r="X99" s="16">
        <v>0.02</v>
      </c>
    </row>
    <row r="100">
      <c r="A100" s="15">
        <v>45954.0</v>
      </c>
      <c r="B100" s="97" t="s">
        <v>360</v>
      </c>
      <c r="C100" s="102">
        <v>0.16</v>
      </c>
      <c r="D100" s="102">
        <v>0.37</v>
      </c>
      <c r="E100" s="102">
        <v>0.23</v>
      </c>
      <c r="F100" s="97" t="s">
        <v>309</v>
      </c>
      <c r="G100" s="16">
        <v>0.25</v>
      </c>
      <c r="H100" s="97" t="s">
        <v>116</v>
      </c>
      <c r="I100" s="97" t="s">
        <v>113</v>
      </c>
      <c r="J100" s="15">
        <v>45982.0</v>
      </c>
      <c r="K100" s="98">
        <v>100.0</v>
      </c>
      <c r="L100" s="16">
        <v>2.0</v>
      </c>
      <c r="M100" s="16">
        <v>238.0</v>
      </c>
      <c r="N100" s="16">
        <v>0.2</v>
      </c>
      <c r="O100" s="34">
        <f t="shared" si="28"/>
        <v>237.8</v>
      </c>
      <c r="Q100" s="145">
        <f t="shared" si="29"/>
        <v>237.8</v>
      </c>
      <c r="R100" s="16" t="s">
        <v>288</v>
      </c>
      <c r="S100" s="53">
        <f t="shared" si="30"/>
        <v>0.01189</v>
      </c>
      <c r="T100" s="102">
        <v>0.89</v>
      </c>
      <c r="U100" s="102">
        <v>0.86</v>
      </c>
      <c r="W100" s="98"/>
      <c r="X100" s="16">
        <v>0.01</v>
      </c>
    </row>
    <row r="101">
      <c r="A101" s="15">
        <v>45957.0</v>
      </c>
      <c r="B101" s="97" t="s">
        <v>361</v>
      </c>
      <c r="C101" s="102">
        <v>0.16</v>
      </c>
      <c r="D101" s="102">
        <v>0.81</v>
      </c>
      <c r="E101" s="102">
        <v>0.65</v>
      </c>
      <c r="F101" s="97" t="s">
        <v>309</v>
      </c>
      <c r="G101" s="16">
        <v>0.1</v>
      </c>
      <c r="H101" s="97" t="s">
        <v>116</v>
      </c>
      <c r="I101" s="97" t="s">
        <v>113</v>
      </c>
      <c r="J101" s="15">
        <v>45982.0</v>
      </c>
      <c r="K101" s="98">
        <v>28.0</v>
      </c>
      <c r="L101" s="16">
        <v>5.0</v>
      </c>
      <c r="M101" s="16">
        <v>345.0</v>
      </c>
      <c r="N101" s="16">
        <v>1.76</v>
      </c>
      <c r="O101" s="34">
        <f t="shared" si="28"/>
        <v>343.24</v>
      </c>
      <c r="Q101" s="145">
        <f t="shared" si="29"/>
        <v>343.24</v>
      </c>
      <c r="R101" s="16" t="s">
        <v>288</v>
      </c>
      <c r="S101" s="53">
        <f t="shared" si="30"/>
        <v>0.02451714286</v>
      </c>
      <c r="T101" s="102">
        <v>0.83</v>
      </c>
      <c r="U101" s="102">
        <v>0.8</v>
      </c>
      <c r="W101" s="98"/>
      <c r="X101" s="16">
        <v>0.03</v>
      </c>
    </row>
    <row r="102">
      <c r="A102" s="15">
        <v>45965.0</v>
      </c>
      <c r="B102" s="97" t="s">
        <v>361</v>
      </c>
      <c r="C102" s="102">
        <v>0.19</v>
      </c>
      <c r="D102" s="102">
        <v>0.57</v>
      </c>
      <c r="E102" s="102">
        <v>0.69</v>
      </c>
      <c r="F102" s="97" t="s">
        <v>309</v>
      </c>
      <c r="G102" s="16">
        <v>0.2</v>
      </c>
      <c r="H102" s="97" t="s">
        <v>116</v>
      </c>
      <c r="I102" s="97" t="s">
        <v>113</v>
      </c>
      <c r="J102" s="15">
        <v>45982.0</v>
      </c>
      <c r="K102" s="98">
        <v>32.0</v>
      </c>
      <c r="L102" s="16">
        <v>4.0</v>
      </c>
      <c r="M102" s="16">
        <v>184.0</v>
      </c>
      <c r="N102" s="16">
        <v>2.79</v>
      </c>
      <c r="O102" s="34">
        <f t="shared" si="28"/>
        <v>181.21</v>
      </c>
      <c r="Q102" s="145">
        <f t="shared" si="29"/>
        <v>181.21</v>
      </c>
      <c r="R102" s="16" t="s">
        <v>288</v>
      </c>
      <c r="S102" s="53">
        <f t="shared" si="30"/>
        <v>0.01415703125</v>
      </c>
      <c r="T102" s="102">
        <v>0.84</v>
      </c>
      <c r="U102" s="102">
        <v>0.81</v>
      </c>
      <c r="W102" s="98"/>
      <c r="X102" s="16">
        <v>0.01</v>
      </c>
    </row>
    <row r="103">
      <c r="A103" s="15">
        <v>45958.0</v>
      </c>
      <c r="B103" s="162" t="s">
        <v>62</v>
      </c>
      <c r="C103" s="102">
        <v>0.16</v>
      </c>
      <c r="D103" s="102">
        <v>1.24</v>
      </c>
      <c r="E103" s="102">
        <v>1.29</v>
      </c>
      <c r="F103" s="97" t="s">
        <v>309</v>
      </c>
      <c r="G103" s="16">
        <v>0.15</v>
      </c>
      <c r="H103" s="97" t="s">
        <v>116</v>
      </c>
      <c r="I103" s="97" t="s">
        <v>113</v>
      </c>
      <c r="J103" s="15">
        <v>45982.0</v>
      </c>
      <c r="K103" s="98">
        <v>9.5</v>
      </c>
      <c r="L103" s="16">
        <v>5.0</v>
      </c>
      <c r="M103" s="16">
        <v>305.0</v>
      </c>
      <c r="N103" s="16">
        <v>1.76</v>
      </c>
      <c r="O103" s="34">
        <f t="shared" si="28"/>
        <v>303.24</v>
      </c>
      <c r="Q103" s="145">
        <f t="shared" si="29"/>
        <v>303.24</v>
      </c>
      <c r="R103" s="44" t="s">
        <v>255</v>
      </c>
      <c r="S103" s="53">
        <f t="shared" si="30"/>
        <v>0.06384</v>
      </c>
      <c r="T103" s="102">
        <v>0.76</v>
      </c>
      <c r="U103" s="102">
        <v>0.69</v>
      </c>
      <c r="W103" s="98"/>
      <c r="X103" s="16">
        <v>0.07</v>
      </c>
    </row>
    <row r="104">
      <c r="A104" s="15">
        <v>45958.0</v>
      </c>
      <c r="B104" s="162" t="s">
        <v>74</v>
      </c>
      <c r="C104" s="102">
        <v>0.16</v>
      </c>
      <c r="D104" s="102">
        <v>0.5</v>
      </c>
      <c r="E104" s="102">
        <v>0.51</v>
      </c>
      <c r="F104" s="97" t="s">
        <v>310</v>
      </c>
      <c r="G104" s="16">
        <v>1.9</v>
      </c>
      <c r="H104" s="97" t="s">
        <v>116</v>
      </c>
      <c r="I104" s="97" t="s">
        <v>113</v>
      </c>
      <c r="J104" s="15">
        <v>45982.0</v>
      </c>
      <c r="K104" s="98">
        <v>150.0</v>
      </c>
      <c r="L104" s="16">
        <v>1.0</v>
      </c>
      <c r="M104" s="16">
        <v>580.0</v>
      </c>
      <c r="N104" s="16">
        <v>0.4</v>
      </c>
      <c r="O104" s="34">
        <f t="shared" si="28"/>
        <v>579.6</v>
      </c>
      <c r="Q104" s="145">
        <f t="shared" si="29"/>
        <v>579.6</v>
      </c>
      <c r="R104" s="44" t="s">
        <v>255</v>
      </c>
      <c r="S104" s="53">
        <f t="shared" si="30"/>
        <v>0.03864</v>
      </c>
      <c r="T104" s="102">
        <v>0.69</v>
      </c>
      <c r="U104" s="102">
        <v>0.57</v>
      </c>
      <c r="W104" s="98"/>
      <c r="X104" s="16">
        <v>0.04</v>
      </c>
    </row>
    <row r="105">
      <c r="A105" s="15">
        <v>45959.0</v>
      </c>
      <c r="B105" s="159" t="s">
        <v>357</v>
      </c>
      <c r="C105" s="102">
        <v>0.17</v>
      </c>
      <c r="D105" s="102">
        <v>0.73</v>
      </c>
      <c r="E105" s="102">
        <v>0.64</v>
      </c>
      <c r="F105" s="97" t="s">
        <v>309</v>
      </c>
      <c r="G105" s="16">
        <v>0.15</v>
      </c>
      <c r="H105" s="97" t="s">
        <v>116</v>
      </c>
      <c r="I105" s="97" t="s">
        <v>113</v>
      </c>
      <c r="J105" s="15">
        <v>45982.0</v>
      </c>
      <c r="K105" s="98">
        <v>20.0</v>
      </c>
      <c r="L105" s="16">
        <v>5.0</v>
      </c>
      <c r="M105" s="16">
        <v>320.0</v>
      </c>
      <c r="N105" s="16">
        <v>1.76</v>
      </c>
      <c r="O105" s="34">
        <f t="shared" si="28"/>
        <v>318.24</v>
      </c>
      <c r="Q105" s="145">
        <f t="shared" si="29"/>
        <v>318.24</v>
      </c>
      <c r="R105" s="16" t="s">
        <v>288</v>
      </c>
      <c r="S105" s="53">
        <f t="shared" si="30"/>
        <v>0.031824</v>
      </c>
      <c r="T105" s="102">
        <v>0.77</v>
      </c>
      <c r="U105" s="102">
        <v>0.72</v>
      </c>
      <c r="W105" s="98"/>
      <c r="X105" s="16">
        <v>0.03</v>
      </c>
    </row>
    <row r="106">
      <c r="A106" s="15">
        <v>45965.0</v>
      </c>
      <c r="B106" s="159" t="s">
        <v>357</v>
      </c>
      <c r="C106" s="102">
        <v>0.17</v>
      </c>
      <c r="D106" s="102">
        <v>0.63</v>
      </c>
      <c r="E106" s="102">
        <v>0.78</v>
      </c>
      <c r="F106" s="97" t="s">
        <v>309</v>
      </c>
      <c r="G106" s="16">
        <v>0.15</v>
      </c>
      <c r="H106" s="97" t="s">
        <v>116</v>
      </c>
      <c r="I106" s="97" t="s">
        <v>113</v>
      </c>
      <c r="J106" s="15">
        <v>45982.0</v>
      </c>
      <c r="K106" s="98">
        <v>19.0</v>
      </c>
      <c r="L106" s="16">
        <v>5.0</v>
      </c>
      <c r="M106" s="16">
        <v>195.0</v>
      </c>
      <c r="N106" s="16">
        <v>1.76</v>
      </c>
      <c r="O106" s="34">
        <f t="shared" si="28"/>
        <v>193.24</v>
      </c>
      <c r="Q106" s="145">
        <f t="shared" si="29"/>
        <v>193.24</v>
      </c>
      <c r="R106" s="16" t="s">
        <v>288</v>
      </c>
      <c r="S106" s="53">
        <f t="shared" si="30"/>
        <v>0.02034105263</v>
      </c>
      <c r="T106" s="102">
        <v>0.71</v>
      </c>
      <c r="U106" s="102">
        <v>0.65</v>
      </c>
      <c r="W106" s="98"/>
      <c r="X106" s="16">
        <v>0.02</v>
      </c>
    </row>
    <row r="107">
      <c r="A107" s="15">
        <v>45959.0</v>
      </c>
      <c r="B107" s="159" t="s">
        <v>362</v>
      </c>
      <c r="C107" s="102">
        <v>0.17</v>
      </c>
      <c r="D107" s="102">
        <v>0.59</v>
      </c>
      <c r="E107" s="102">
        <v>0.52</v>
      </c>
      <c r="F107" s="97" t="s">
        <v>309</v>
      </c>
      <c r="G107" s="16">
        <v>0.05</v>
      </c>
      <c r="H107" s="97" t="s">
        <v>116</v>
      </c>
      <c r="I107" s="97" t="s">
        <v>113</v>
      </c>
      <c r="J107" s="15">
        <v>45982.0</v>
      </c>
      <c r="K107" s="98">
        <v>21.0</v>
      </c>
      <c r="L107" s="16">
        <v>5.0</v>
      </c>
      <c r="M107" s="16">
        <v>235.0</v>
      </c>
      <c r="N107" s="16">
        <v>3.49</v>
      </c>
      <c r="O107" s="34">
        <f t="shared" si="28"/>
        <v>231.51</v>
      </c>
      <c r="Q107" s="145">
        <f t="shared" si="29"/>
        <v>231.51</v>
      </c>
      <c r="R107" s="16" t="s">
        <v>288</v>
      </c>
      <c r="S107" s="53">
        <f t="shared" si="30"/>
        <v>0.02204857143</v>
      </c>
      <c r="T107" s="102">
        <v>0.77</v>
      </c>
      <c r="U107" s="102">
        <v>0.73</v>
      </c>
      <c r="W107" s="98"/>
      <c r="X107" s="16">
        <v>0.02</v>
      </c>
    </row>
    <row r="108">
      <c r="A108" s="15">
        <v>45965.0</v>
      </c>
      <c r="B108" s="97" t="s">
        <v>75</v>
      </c>
      <c r="C108" s="102">
        <v>0.19</v>
      </c>
      <c r="D108" s="102">
        <v>0.41</v>
      </c>
      <c r="E108" s="102">
        <v>0.39</v>
      </c>
      <c r="F108" s="97" t="s">
        <v>310</v>
      </c>
      <c r="G108" s="16">
        <v>0.09</v>
      </c>
      <c r="H108" s="97" t="s">
        <v>116</v>
      </c>
      <c r="I108" s="97" t="s">
        <v>113</v>
      </c>
      <c r="J108" s="15">
        <v>45982.0</v>
      </c>
      <c r="K108" s="98">
        <v>80.0</v>
      </c>
      <c r="L108" s="16">
        <v>2.0</v>
      </c>
      <c r="M108" s="16">
        <v>220.0</v>
      </c>
      <c r="N108" s="16">
        <v>0.9</v>
      </c>
      <c r="O108" s="34">
        <f t="shared" si="28"/>
        <v>219.1</v>
      </c>
      <c r="Q108" s="145">
        <f t="shared" si="29"/>
        <v>219.1</v>
      </c>
      <c r="R108" s="44" t="s">
        <v>255</v>
      </c>
      <c r="S108" s="53">
        <f t="shared" si="30"/>
        <v>0.01369375</v>
      </c>
      <c r="T108" s="102">
        <v>0.81</v>
      </c>
      <c r="U108" s="102">
        <v>0.77</v>
      </c>
      <c r="W108" s="98"/>
      <c r="X108" s="16">
        <v>0.01</v>
      </c>
    </row>
    <row r="109">
      <c r="A109" s="15">
        <v>45953.0</v>
      </c>
      <c r="B109" s="97" t="s">
        <v>63</v>
      </c>
      <c r="C109" s="102">
        <v>0.17</v>
      </c>
      <c r="D109" s="102">
        <v>0.46</v>
      </c>
      <c r="E109" s="102">
        <v>0.34</v>
      </c>
      <c r="F109" s="97" t="s">
        <v>309</v>
      </c>
      <c r="G109" s="16">
        <v>0.03</v>
      </c>
      <c r="H109" s="97" t="s">
        <v>112</v>
      </c>
      <c r="I109" s="97" t="s">
        <v>113</v>
      </c>
      <c r="J109" s="15">
        <v>45982.0</v>
      </c>
      <c r="K109" s="98">
        <v>205.0</v>
      </c>
      <c r="L109" s="16">
        <v>1.0</v>
      </c>
      <c r="M109" s="16">
        <v>242.0</v>
      </c>
      <c r="N109" s="16">
        <v>1.05</v>
      </c>
      <c r="O109" s="34">
        <f t="shared" si="28"/>
        <v>240.95</v>
      </c>
      <c r="Q109" s="145">
        <f t="shared" si="29"/>
        <v>240.95</v>
      </c>
      <c r="R109" s="16" t="s">
        <v>288</v>
      </c>
      <c r="S109" s="53">
        <f t="shared" si="30"/>
        <v>0.01175365854</v>
      </c>
      <c r="T109" s="102">
        <v>0.83</v>
      </c>
      <c r="U109" s="102">
        <v>0.81</v>
      </c>
      <c r="W109" s="98"/>
      <c r="X109" s="61"/>
    </row>
    <row r="110">
      <c r="A110" s="15">
        <v>45953.0</v>
      </c>
      <c r="B110" s="97" t="s">
        <v>59</v>
      </c>
      <c r="C110" s="102">
        <v>0.17</v>
      </c>
      <c r="D110" s="102">
        <v>0.67</v>
      </c>
      <c r="E110" s="102">
        <v>0.36</v>
      </c>
      <c r="F110" s="97" t="s">
        <v>309</v>
      </c>
      <c r="G110" s="16">
        <v>0.35</v>
      </c>
      <c r="H110" s="97" t="s">
        <v>112</v>
      </c>
      <c r="I110" s="97" t="s">
        <v>113</v>
      </c>
      <c r="J110" s="15">
        <v>45982.0</v>
      </c>
      <c r="K110" s="98">
        <v>100.0</v>
      </c>
      <c r="L110" s="16">
        <v>1.0</v>
      </c>
      <c r="M110" s="16">
        <v>194.0</v>
      </c>
      <c r="N110" s="16">
        <v>0.0</v>
      </c>
      <c r="O110" s="34">
        <f t="shared" si="28"/>
        <v>194</v>
      </c>
      <c r="Q110" s="145">
        <f t="shared" si="29"/>
        <v>194</v>
      </c>
      <c r="R110" s="16" t="s">
        <v>288</v>
      </c>
      <c r="S110" s="53">
        <f t="shared" si="30"/>
        <v>0.0194</v>
      </c>
      <c r="T110" s="102">
        <v>0.81</v>
      </c>
      <c r="U110" s="102">
        <v>0.79</v>
      </c>
      <c r="W110" s="98"/>
      <c r="X110" s="61"/>
    </row>
    <row r="111">
      <c r="A111" s="15">
        <v>45961.0</v>
      </c>
      <c r="B111" s="97" t="s">
        <v>78</v>
      </c>
      <c r="C111" s="102">
        <v>0.16</v>
      </c>
      <c r="D111" s="102">
        <v>0.58</v>
      </c>
      <c r="E111" s="102">
        <v>0.28</v>
      </c>
      <c r="F111" s="97" t="s">
        <v>309</v>
      </c>
      <c r="G111" s="16">
        <v>0.15</v>
      </c>
      <c r="H111" s="97" t="s">
        <v>112</v>
      </c>
      <c r="I111" s="97" t="s">
        <v>113</v>
      </c>
      <c r="J111" s="15">
        <v>45982.0</v>
      </c>
      <c r="K111" s="98">
        <v>95.0</v>
      </c>
      <c r="L111" s="16">
        <v>1.0</v>
      </c>
      <c r="M111" s="16">
        <v>161.0</v>
      </c>
      <c r="N111" s="16">
        <v>0.8</v>
      </c>
      <c r="O111" s="34">
        <f t="shared" si="28"/>
        <v>160.2</v>
      </c>
      <c r="Q111" s="145">
        <f t="shared" si="29"/>
        <v>160.2</v>
      </c>
      <c r="R111" s="16" t="s">
        <v>288</v>
      </c>
      <c r="S111" s="53">
        <f t="shared" si="30"/>
        <v>0.01686315789</v>
      </c>
      <c r="T111" s="102">
        <v>0.81</v>
      </c>
      <c r="U111" s="102">
        <v>0.77</v>
      </c>
      <c r="W111" s="98"/>
      <c r="X111" s="61"/>
    </row>
    <row r="112">
      <c r="A112" s="15"/>
      <c r="B112" s="97"/>
      <c r="C112" s="53"/>
      <c r="D112" s="102"/>
      <c r="E112" s="102"/>
      <c r="F112" s="97"/>
      <c r="H112" s="97"/>
      <c r="I112" s="97"/>
      <c r="J112" s="20"/>
      <c r="K112" s="98"/>
      <c r="L112" s="16"/>
      <c r="M112" s="16"/>
      <c r="N112" s="16"/>
      <c r="O112" s="34"/>
      <c r="P112" s="16"/>
      <c r="Q112" s="70"/>
      <c r="R112" s="16"/>
      <c r="S112" s="53"/>
      <c r="T112" s="102"/>
      <c r="U112" s="102"/>
      <c r="W112" s="98"/>
      <c r="X112" s="61"/>
    </row>
    <row r="113">
      <c r="A113" s="15">
        <v>45895.0</v>
      </c>
      <c r="B113" s="97" t="s">
        <v>61</v>
      </c>
      <c r="C113" s="53">
        <v>0.149</v>
      </c>
      <c r="D113" s="102">
        <v>0.48</v>
      </c>
      <c r="E113" s="102">
        <v>0.82</v>
      </c>
      <c r="F113" s="97" t="s">
        <v>309</v>
      </c>
      <c r="H113" s="97" t="s">
        <v>112</v>
      </c>
      <c r="I113" s="97" t="s">
        <v>113</v>
      </c>
      <c r="J113" s="20">
        <v>46010.0</v>
      </c>
      <c r="K113" s="98">
        <v>240.0</v>
      </c>
      <c r="L113" s="16">
        <v>1.0</v>
      </c>
      <c r="M113" s="16">
        <v>867.0</v>
      </c>
      <c r="N113" s="16">
        <v>2.11</v>
      </c>
      <c r="O113" s="34">
        <f t="shared" ref="O113:O126" si="31">M113-N113</f>
        <v>864.89</v>
      </c>
      <c r="Q113" s="145">
        <f t="shared" ref="Q113:Q126" si="32">sum(O113:P113)</f>
        <v>864.89</v>
      </c>
      <c r="R113" s="16" t="s">
        <v>363</v>
      </c>
      <c r="S113" s="53">
        <f t="shared" ref="S113:S126" si="33">Q113/(K113*100*L113)</f>
        <v>0.03603708333</v>
      </c>
      <c r="T113" s="102">
        <v>0.53</v>
      </c>
      <c r="U113" s="102">
        <v>0.12</v>
      </c>
      <c r="W113" s="98"/>
      <c r="X113" s="61"/>
    </row>
    <row r="114">
      <c r="A114" s="15">
        <v>45985.0</v>
      </c>
      <c r="B114" s="97" t="s">
        <v>59</v>
      </c>
      <c r="C114" s="102">
        <v>0.21</v>
      </c>
      <c r="D114" s="102">
        <v>0.442</v>
      </c>
      <c r="E114" s="102">
        <v>0.432</v>
      </c>
      <c r="F114" s="97" t="s">
        <v>310</v>
      </c>
      <c r="G114" s="16">
        <v>0.4</v>
      </c>
      <c r="H114" s="97" t="s">
        <v>112</v>
      </c>
      <c r="I114" s="97" t="s">
        <v>113</v>
      </c>
      <c r="J114" s="20">
        <v>46010.0</v>
      </c>
      <c r="K114" s="98">
        <v>85.0</v>
      </c>
      <c r="L114" s="16">
        <v>1.0</v>
      </c>
      <c r="M114" s="16">
        <v>211.0</v>
      </c>
      <c r="N114" s="16">
        <v>0.0</v>
      </c>
      <c r="O114" s="34">
        <f t="shared" si="31"/>
        <v>211</v>
      </c>
      <c r="Q114" s="145">
        <f t="shared" si="32"/>
        <v>211</v>
      </c>
      <c r="S114" s="53">
        <f t="shared" si="33"/>
        <v>0.02482352941</v>
      </c>
      <c r="T114" s="102">
        <v>0.74</v>
      </c>
      <c r="U114" s="102">
        <v>0.67</v>
      </c>
      <c r="W114" s="98"/>
      <c r="X114" s="61"/>
    </row>
    <row r="115">
      <c r="A115" s="15">
        <v>45985.0</v>
      </c>
      <c r="B115" s="97" t="s">
        <v>75</v>
      </c>
      <c r="C115" s="102">
        <v>0.21</v>
      </c>
      <c r="D115" s="102">
        <v>0.42</v>
      </c>
      <c r="E115" s="102">
        <v>0.47</v>
      </c>
      <c r="F115" s="97" t="s">
        <v>310</v>
      </c>
      <c r="G115" s="16">
        <v>0.1</v>
      </c>
      <c r="H115" s="97" t="s">
        <v>112</v>
      </c>
      <c r="I115" s="97" t="s">
        <v>113</v>
      </c>
      <c r="J115" s="20">
        <v>46010.0</v>
      </c>
      <c r="K115" s="98">
        <v>85.0</v>
      </c>
      <c r="L115" s="16">
        <v>2.0</v>
      </c>
      <c r="M115" s="16">
        <v>466.0</v>
      </c>
      <c r="N115" s="16">
        <v>0.9</v>
      </c>
      <c r="O115" s="34">
        <f t="shared" si="31"/>
        <v>465.1</v>
      </c>
      <c r="Q115" s="145">
        <f t="shared" si="32"/>
        <v>465.1</v>
      </c>
      <c r="S115" s="53">
        <f t="shared" si="33"/>
        <v>0.02735882353</v>
      </c>
      <c r="T115" s="102">
        <v>0.71</v>
      </c>
      <c r="U115" s="102">
        <v>0.62</v>
      </c>
      <c r="W115" s="98"/>
      <c r="X115" s="61"/>
    </row>
    <row r="116">
      <c r="A116" s="15">
        <v>45985.0</v>
      </c>
      <c r="B116" s="97" t="s">
        <v>63</v>
      </c>
      <c r="C116" s="102">
        <v>0.21</v>
      </c>
      <c r="D116" s="102">
        <v>0.44</v>
      </c>
      <c r="E116" s="102">
        <v>0.47</v>
      </c>
      <c r="F116" s="97" t="s">
        <v>310</v>
      </c>
      <c r="G116" s="16">
        <v>0.01</v>
      </c>
      <c r="H116" s="97" t="s">
        <v>112</v>
      </c>
      <c r="I116" s="97" t="s">
        <v>113</v>
      </c>
      <c r="J116" s="20">
        <v>46010.0</v>
      </c>
      <c r="K116" s="98">
        <v>200.0</v>
      </c>
      <c r="L116" s="16">
        <v>1.0</v>
      </c>
      <c r="M116" s="16">
        <v>255.0</v>
      </c>
      <c r="N116" s="16">
        <v>1.05</v>
      </c>
      <c r="O116" s="34">
        <f t="shared" si="31"/>
        <v>253.95</v>
      </c>
      <c r="Q116" s="145">
        <f t="shared" si="32"/>
        <v>253.95</v>
      </c>
      <c r="S116" s="53">
        <f t="shared" si="33"/>
        <v>0.0126975</v>
      </c>
      <c r="T116" s="102">
        <v>0.81</v>
      </c>
      <c r="U116" s="102">
        <v>0.78</v>
      </c>
      <c r="W116" s="98"/>
      <c r="X116" s="61"/>
    </row>
    <row r="117">
      <c r="A117" s="15">
        <v>45985.0</v>
      </c>
      <c r="B117" s="97" t="s">
        <v>62</v>
      </c>
      <c r="C117" s="102">
        <v>0.21</v>
      </c>
      <c r="D117" s="102">
        <v>1.07</v>
      </c>
      <c r="E117" s="102">
        <v>1.21</v>
      </c>
      <c r="F117" s="97" t="s">
        <v>310</v>
      </c>
      <c r="G117" s="16">
        <v>0.05</v>
      </c>
      <c r="H117" s="97" t="s">
        <v>112</v>
      </c>
      <c r="I117" s="97" t="s">
        <v>113</v>
      </c>
      <c r="J117" s="20">
        <v>46010.0</v>
      </c>
      <c r="K117" s="98">
        <v>9.5</v>
      </c>
      <c r="L117" s="16">
        <v>5.0</v>
      </c>
      <c r="M117" s="16">
        <v>120.0</v>
      </c>
      <c r="N117" s="16">
        <v>1.76</v>
      </c>
      <c r="O117" s="34">
        <f t="shared" si="31"/>
        <v>118.24</v>
      </c>
      <c r="Q117" s="145">
        <f t="shared" si="32"/>
        <v>118.24</v>
      </c>
      <c r="S117" s="53">
        <f t="shared" si="33"/>
        <v>0.02489263158</v>
      </c>
      <c r="T117" s="102">
        <v>0.85</v>
      </c>
      <c r="U117" s="102">
        <v>0.83</v>
      </c>
      <c r="W117" s="98"/>
      <c r="X117" s="61"/>
    </row>
    <row r="118">
      <c r="A118" s="15">
        <v>45985.0</v>
      </c>
      <c r="B118" s="97" t="s">
        <v>73</v>
      </c>
      <c r="C118" s="102">
        <v>0.21</v>
      </c>
      <c r="D118" s="102">
        <v>0.43</v>
      </c>
      <c r="E118" s="102">
        <v>0.46</v>
      </c>
      <c r="F118" s="97" t="s">
        <v>310</v>
      </c>
      <c r="G118" s="16">
        <v>0.1</v>
      </c>
      <c r="H118" s="97" t="s">
        <v>112</v>
      </c>
      <c r="I118" s="97" t="s">
        <v>113</v>
      </c>
      <c r="J118" s="20">
        <v>46010.0</v>
      </c>
      <c r="K118" s="98">
        <v>65.0</v>
      </c>
      <c r="L118" s="16">
        <v>3.0</v>
      </c>
      <c r="M118" s="16">
        <v>522.0</v>
      </c>
      <c r="N118" s="16">
        <v>1.05</v>
      </c>
      <c r="O118" s="34">
        <f t="shared" si="31"/>
        <v>520.95</v>
      </c>
      <c r="Q118" s="145">
        <f t="shared" si="32"/>
        <v>520.95</v>
      </c>
      <c r="S118" s="53">
        <f t="shared" si="33"/>
        <v>0.02671538462</v>
      </c>
      <c r="T118" s="102">
        <v>0.72</v>
      </c>
      <c r="U118" s="102">
        <v>0.63</v>
      </c>
      <c r="W118" s="98"/>
      <c r="X118" s="61"/>
    </row>
    <row r="119">
      <c r="A119" s="15">
        <v>45986.0</v>
      </c>
      <c r="B119" s="97" t="s">
        <v>58</v>
      </c>
      <c r="C119" s="102">
        <v>0.19</v>
      </c>
      <c r="D119" s="102">
        <v>0.86</v>
      </c>
      <c r="E119" s="102">
        <v>0.43</v>
      </c>
      <c r="F119" s="97" t="s">
        <v>310</v>
      </c>
      <c r="G119" s="16">
        <v>0.05</v>
      </c>
      <c r="H119" s="97" t="s">
        <v>112</v>
      </c>
      <c r="I119" s="97" t="s">
        <v>113</v>
      </c>
      <c r="J119" s="20">
        <v>46010.0</v>
      </c>
      <c r="K119" s="98">
        <v>15.0</v>
      </c>
      <c r="L119" s="16">
        <v>4.0</v>
      </c>
      <c r="M119" s="16">
        <v>136.0</v>
      </c>
      <c r="N119" s="16">
        <v>1.41</v>
      </c>
      <c r="O119" s="34">
        <f t="shared" si="31"/>
        <v>134.59</v>
      </c>
      <c r="Q119" s="145">
        <f t="shared" si="32"/>
        <v>134.59</v>
      </c>
      <c r="S119" s="53">
        <f t="shared" si="33"/>
        <v>0.02243166667</v>
      </c>
      <c r="T119" s="102">
        <v>0.82</v>
      </c>
      <c r="U119" s="102">
        <v>0.79</v>
      </c>
      <c r="W119" s="98"/>
      <c r="X119" s="61"/>
    </row>
    <row r="120">
      <c r="A120" s="15">
        <v>45985.0</v>
      </c>
      <c r="B120" s="97" t="s">
        <v>364</v>
      </c>
      <c r="C120" s="102">
        <v>0.21</v>
      </c>
      <c r="D120" s="102">
        <v>0.45</v>
      </c>
      <c r="E120" s="102">
        <v>0.44</v>
      </c>
      <c r="F120" s="97" t="s">
        <v>310</v>
      </c>
      <c r="G120" s="16">
        <v>0.25</v>
      </c>
      <c r="H120" s="97" t="s">
        <v>116</v>
      </c>
      <c r="I120" s="97" t="s">
        <v>113</v>
      </c>
      <c r="J120" s="20">
        <v>46010.0</v>
      </c>
      <c r="K120" s="98">
        <v>22.0</v>
      </c>
      <c r="L120" s="16">
        <v>6.0</v>
      </c>
      <c r="M120" s="16">
        <v>282.0</v>
      </c>
      <c r="N120" s="16">
        <v>4.19</v>
      </c>
      <c r="O120" s="34">
        <f t="shared" si="31"/>
        <v>277.81</v>
      </c>
      <c r="Q120" s="145">
        <f t="shared" si="32"/>
        <v>277.81</v>
      </c>
      <c r="R120" s="8">
        <f t="shared" ref="R120:R128" si="34">100*K120*L120</f>
        <v>13200</v>
      </c>
      <c r="S120" s="53">
        <f t="shared" si="33"/>
        <v>0.02104621212</v>
      </c>
      <c r="T120" s="102">
        <v>0.8</v>
      </c>
      <c r="U120" s="102">
        <v>0.75</v>
      </c>
      <c r="W120" s="98"/>
      <c r="X120" s="16">
        <v>0.02</v>
      </c>
    </row>
    <row r="121">
      <c r="A121" s="15">
        <v>45985.0</v>
      </c>
      <c r="B121" s="163" t="s">
        <v>365</v>
      </c>
      <c r="C121" s="102">
        <v>0.21</v>
      </c>
      <c r="D121" s="102">
        <v>0.33</v>
      </c>
      <c r="E121" s="102">
        <v>0.38</v>
      </c>
      <c r="F121" s="97" t="s">
        <v>310</v>
      </c>
      <c r="G121" s="16">
        <v>0.1</v>
      </c>
      <c r="H121" s="97" t="s">
        <v>116</v>
      </c>
      <c r="I121" s="97" t="s">
        <v>113</v>
      </c>
      <c r="J121" s="20">
        <v>46010.0</v>
      </c>
      <c r="K121" s="98">
        <v>46.0</v>
      </c>
      <c r="L121" s="16">
        <v>3.0</v>
      </c>
      <c r="M121" s="16">
        <v>177.0</v>
      </c>
      <c r="N121" s="16">
        <v>1.05</v>
      </c>
      <c r="O121" s="34">
        <f t="shared" si="31"/>
        <v>175.95</v>
      </c>
      <c r="Q121" s="145">
        <f t="shared" si="32"/>
        <v>175.95</v>
      </c>
      <c r="R121" s="8">
        <f t="shared" si="34"/>
        <v>13800</v>
      </c>
      <c r="S121" s="53">
        <f t="shared" si="33"/>
        <v>0.01275</v>
      </c>
      <c r="T121" s="102">
        <v>0.83</v>
      </c>
      <c r="U121" s="102">
        <v>0.79</v>
      </c>
      <c r="W121" s="98"/>
      <c r="X121" s="16">
        <v>0.01</v>
      </c>
    </row>
    <row r="122">
      <c r="A122" s="15">
        <v>45985.0</v>
      </c>
      <c r="B122" s="162" t="s">
        <v>359</v>
      </c>
      <c r="C122" s="102">
        <v>0.21</v>
      </c>
      <c r="D122" s="102">
        <v>0.55</v>
      </c>
      <c r="E122" s="102">
        <v>0.63</v>
      </c>
      <c r="F122" s="97" t="s">
        <v>310</v>
      </c>
      <c r="G122" s="16">
        <v>0.5</v>
      </c>
      <c r="H122" s="97" t="s">
        <v>116</v>
      </c>
      <c r="I122" s="97" t="s">
        <v>113</v>
      </c>
      <c r="J122" s="20">
        <v>46010.0</v>
      </c>
      <c r="K122" s="98">
        <v>85.0</v>
      </c>
      <c r="L122" s="16">
        <v>2.0</v>
      </c>
      <c r="M122" s="16">
        <v>332.0</v>
      </c>
      <c r="N122" s="16">
        <v>0.7</v>
      </c>
      <c r="O122" s="34">
        <f t="shared" si="31"/>
        <v>331.3</v>
      </c>
      <c r="Q122" s="145">
        <f t="shared" si="32"/>
        <v>331.3</v>
      </c>
      <c r="R122" s="8">
        <f t="shared" si="34"/>
        <v>17000</v>
      </c>
      <c r="S122" s="53">
        <f t="shared" si="33"/>
        <v>0.01948823529</v>
      </c>
      <c r="T122" s="102">
        <v>0.82</v>
      </c>
      <c r="U122" s="102">
        <v>0.79</v>
      </c>
      <c r="W122" s="98"/>
      <c r="X122" s="16">
        <v>0.02</v>
      </c>
    </row>
    <row r="123">
      <c r="A123" s="15">
        <v>45985.0</v>
      </c>
      <c r="B123" s="159" t="s">
        <v>366</v>
      </c>
      <c r="C123" s="102">
        <v>0.21</v>
      </c>
      <c r="D123" s="102">
        <v>0.35</v>
      </c>
      <c r="E123" s="102">
        <v>0.34</v>
      </c>
      <c r="F123" s="97" t="s">
        <v>310</v>
      </c>
      <c r="G123" s="16">
        <v>0.03</v>
      </c>
      <c r="H123" s="97" t="s">
        <v>116</v>
      </c>
      <c r="I123" s="97" t="s">
        <v>113</v>
      </c>
      <c r="J123" s="20">
        <v>46010.0</v>
      </c>
      <c r="K123" s="98">
        <v>34.0</v>
      </c>
      <c r="L123" s="16">
        <v>5.0</v>
      </c>
      <c r="M123" s="16">
        <v>295.0</v>
      </c>
      <c r="N123" s="16">
        <v>3.49</v>
      </c>
      <c r="O123" s="34">
        <f t="shared" si="31"/>
        <v>291.51</v>
      </c>
      <c r="Q123" s="145">
        <f t="shared" si="32"/>
        <v>291.51</v>
      </c>
      <c r="R123" s="8">
        <f t="shared" si="34"/>
        <v>17000</v>
      </c>
      <c r="S123" s="53">
        <f t="shared" si="33"/>
        <v>0.01714764706</v>
      </c>
      <c r="T123" s="102">
        <v>0.77</v>
      </c>
      <c r="U123" s="102">
        <v>0.71</v>
      </c>
      <c r="W123" s="98"/>
      <c r="X123" s="16">
        <v>0.02</v>
      </c>
    </row>
    <row r="124">
      <c r="A124" s="15">
        <v>45985.0</v>
      </c>
      <c r="B124" s="159" t="s">
        <v>361</v>
      </c>
      <c r="C124" s="102">
        <v>0.21</v>
      </c>
      <c r="D124" s="102">
        <v>0.54</v>
      </c>
      <c r="E124" s="102">
        <v>0.74</v>
      </c>
      <c r="F124" s="97" t="s">
        <v>310</v>
      </c>
      <c r="G124" s="16">
        <v>0.1</v>
      </c>
      <c r="H124" s="97" t="s">
        <v>116</v>
      </c>
      <c r="I124" s="97" t="s">
        <v>113</v>
      </c>
      <c r="J124" s="20">
        <v>46010.0</v>
      </c>
      <c r="K124" s="98">
        <v>30.0</v>
      </c>
      <c r="L124" s="16">
        <v>4.0</v>
      </c>
      <c r="M124" s="16">
        <v>284.0</v>
      </c>
      <c r="N124" s="16">
        <v>1.41</v>
      </c>
      <c r="O124" s="34">
        <f t="shared" si="31"/>
        <v>282.59</v>
      </c>
      <c r="Q124" s="145">
        <f t="shared" si="32"/>
        <v>282.59</v>
      </c>
      <c r="R124" s="8">
        <f t="shared" si="34"/>
        <v>12000</v>
      </c>
      <c r="S124" s="53">
        <f t="shared" si="33"/>
        <v>0.02354916667</v>
      </c>
      <c r="T124" s="102">
        <v>0.8</v>
      </c>
      <c r="U124" s="102">
        <v>0.75</v>
      </c>
      <c r="W124" s="98"/>
      <c r="X124" s="16">
        <v>0.02</v>
      </c>
    </row>
    <row r="125">
      <c r="A125" s="15">
        <v>45985.0</v>
      </c>
      <c r="B125" s="97" t="s">
        <v>367</v>
      </c>
      <c r="C125" s="102">
        <v>0.21</v>
      </c>
      <c r="D125" s="102">
        <v>0.35</v>
      </c>
      <c r="E125" s="102">
        <v>0.46</v>
      </c>
      <c r="F125" s="97" t="s">
        <v>310</v>
      </c>
      <c r="G125" s="16">
        <v>0.02</v>
      </c>
      <c r="H125" s="97" t="s">
        <v>116</v>
      </c>
      <c r="I125" s="97" t="s">
        <v>113</v>
      </c>
      <c r="J125" s="20">
        <v>46010.0</v>
      </c>
      <c r="K125" s="98">
        <v>24.0</v>
      </c>
      <c r="L125" s="16">
        <v>6.0</v>
      </c>
      <c r="M125" s="16">
        <v>210.0</v>
      </c>
      <c r="N125" s="16">
        <v>4.19</v>
      </c>
      <c r="O125" s="34">
        <f t="shared" si="31"/>
        <v>205.81</v>
      </c>
      <c r="Q125" s="145">
        <f t="shared" si="32"/>
        <v>205.81</v>
      </c>
      <c r="R125" s="8">
        <f t="shared" si="34"/>
        <v>14400</v>
      </c>
      <c r="S125" s="53">
        <f t="shared" si="33"/>
        <v>0.01429236111</v>
      </c>
      <c r="T125" s="102">
        <v>0.82</v>
      </c>
      <c r="U125" s="102">
        <v>0.77</v>
      </c>
      <c r="W125" s="98"/>
      <c r="X125" s="16">
        <v>0.01</v>
      </c>
    </row>
    <row r="126">
      <c r="A126" s="15">
        <v>45986.0</v>
      </c>
      <c r="B126" s="163" t="s">
        <v>368</v>
      </c>
      <c r="C126" s="102">
        <v>0.19</v>
      </c>
      <c r="D126" s="102">
        <v>0.69</v>
      </c>
      <c r="E126" s="102">
        <v>0.94</v>
      </c>
      <c r="F126" s="97" t="s">
        <v>310</v>
      </c>
      <c r="G126" s="16">
        <v>0.06</v>
      </c>
      <c r="H126" s="97" t="s">
        <v>116</v>
      </c>
      <c r="I126" s="97" t="s">
        <v>113</v>
      </c>
      <c r="J126" s="20">
        <v>46010.0</v>
      </c>
      <c r="K126" s="98">
        <v>13.0</v>
      </c>
      <c r="L126" s="16">
        <v>10.0</v>
      </c>
      <c r="M126" s="16">
        <v>320.0</v>
      </c>
      <c r="N126" s="16">
        <v>6.99</v>
      </c>
      <c r="O126" s="34">
        <f t="shared" si="31"/>
        <v>313.01</v>
      </c>
      <c r="Q126" s="145">
        <f t="shared" si="32"/>
        <v>313.01</v>
      </c>
      <c r="R126" s="8">
        <f t="shared" si="34"/>
        <v>13000</v>
      </c>
      <c r="S126" s="53">
        <f t="shared" si="33"/>
        <v>0.02407769231</v>
      </c>
      <c r="T126" s="102">
        <v>0.85</v>
      </c>
      <c r="U126" s="102">
        <v>0.81</v>
      </c>
      <c r="W126" s="98"/>
      <c r="X126" s="16">
        <v>0.02</v>
      </c>
    </row>
    <row r="127">
      <c r="A127" s="15"/>
      <c r="B127" s="159" t="s">
        <v>369</v>
      </c>
      <c r="D127" s="102"/>
      <c r="E127" s="102"/>
      <c r="F127" s="97"/>
      <c r="I127" s="97"/>
      <c r="K127" s="98">
        <v>20.0</v>
      </c>
      <c r="L127" s="16">
        <v>7.0</v>
      </c>
      <c r="O127" s="34"/>
      <c r="Q127" s="70"/>
      <c r="R127" s="8">
        <f t="shared" si="34"/>
        <v>14000</v>
      </c>
      <c r="S127" s="102"/>
      <c r="T127" s="102"/>
      <c r="U127" s="102"/>
      <c r="W127" s="98"/>
      <c r="X127" s="61"/>
    </row>
    <row r="128">
      <c r="A128" s="15"/>
      <c r="B128" s="97" t="s">
        <v>370</v>
      </c>
      <c r="D128" s="102"/>
      <c r="E128" s="102"/>
      <c r="F128" s="97"/>
      <c r="I128" s="97"/>
      <c r="K128" s="98">
        <v>12.0</v>
      </c>
      <c r="L128" s="16">
        <v>10.0</v>
      </c>
      <c r="O128" s="34"/>
      <c r="Q128" s="70"/>
      <c r="R128" s="8">
        <f t="shared" si="34"/>
        <v>12000</v>
      </c>
      <c r="S128" s="102"/>
      <c r="T128" s="102"/>
      <c r="U128" s="102"/>
      <c r="W128" s="98"/>
      <c r="X128" s="61"/>
    </row>
    <row r="129">
      <c r="A129" s="15"/>
      <c r="B129" s="97" t="s">
        <v>74</v>
      </c>
      <c r="D129" s="102"/>
      <c r="E129" s="102"/>
      <c r="F129" s="97"/>
      <c r="I129" s="97"/>
      <c r="K129" s="98"/>
      <c r="O129" s="34"/>
      <c r="Q129" s="70"/>
      <c r="S129" s="102"/>
      <c r="T129" s="102"/>
      <c r="U129" s="102"/>
      <c r="W129" s="98"/>
      <c r="X129" s="61"/>
    </row>
    <row r="130">
      <c r="A130" s="15"/>
      <c r="B130" s="97" t="s">
        <v>78</v>
      </c>
      <c r="D130" s="102"/>
      <c r="E130" s="102"/>
      <c r="F130" s="97"/>
      <c r="I130" s="97"/>
      <c r="K130" s="98"/>
      <c r="O130" s="34"/>
      <c r="Q130" s="70"/>
      <c r="S130" s="102"/>
      <c r="T130" s="102"/>
      <c r="U130" s="102"/>
      <c r="W130" s="98"/>
      <c r="X130" s="61"/>
    </row>
    <row r="131">
      <c r="A131" s="15"/>
      <c r="B131" s="155"/>
      <c r="D131" s="102"/>
      <c r="E131" s="102"/>
      <c r="F131" s="97"/>
      <c r="I131" s="97"/>
      <c r="K131" s="98"/>
      <c r="O131" s="34"/>
      <c r="Q131" s="70"/>
      <c r="S131" s="102"/>
      <c r="T131" s="102"/>
      <c r="U131" s="102"/>
      <c r="W131" s="98"/>
      <c r="X131" s="61"/>
    </row>
    <row r="132">
      <c r="A132" s="15"/>
      <c r="B132" s="155"/>
      <c r="D132" s="102"/>
      <c r="E132" s="102"/>
      <c r="F132" s="97"/>
      <c r="I132" s="97"/>
      <c r="K132" s="98"/>
      <c r="O132" s="34"/>
      <c r="Q132" s="70"/>
      <c r="S132" s="102"/>
      <c r="T132" s="102"/>
      <c r="U132" s="102"/>
      <c r="W132" s="98"/>
      <c r="X132" s="61"/>
    </row>
    <row r="133">
      <c r="A133" s="15">
        <v>45894.0</v>
      </c>
      <c r="B133" s="97" t="s">
        <v>54</v>
      </c>
      <c r="C133" s="53">
        <v>0.144</v>
      </c>
      <c r="D133" s="102">
        <v>0.3</v>
      </c>
      <c r="E133" s="102">
        <v>0.25</v>
      </c>
      <c r="F133" s="97" t="s">
        <v>309</v>
      </c>
      <c r="H133" s="97" t="s">
        <v>112</v>
      </c>
      <c r="I133" s="97" t="s">
        <v>113</v>
      </c>
      <c r="J133" s="20">
        <v>46101.0</v>
      </c>
      <c r="K133" s="98">
        <v>215.0</v>
      </c>
      <c r="L133" s="16">
        <v>1.0</v>
      </c>
      <c r="M133" s="16">
        <v>0.0</v>
      </c>
      <c r="N133" s="16">
        <v>0.0</v>
      </c>
      <c r="O133" s="34">
        <f t="shared" ref="O133:O134" si="35">M133-N133</f>
        <v>0</v>
      </c>
      <c r="P133" s="16">
        <f>-160.41-99.39</f>
        <v>-259.8</v>
      </c>
      <c r="Q133" s="156">
        <f t="shared" ref="Q133:Q134" si="36">sum(O133:P133)</f>
        <v>-259.8</v>
      </c>
      <c r="R133" s="16" t="s">
        <v>371</v>
      </c>
      <c r="S133" s="53">
        <f t="shared" ref="S133:S134" si="37">Q133/(K133*100*L133)</f>
        <v>-0.01208372093</v>
      </c>
      <c r="T133" s="102">
        <v>0.64</v>
      </c>
      <c r="U133" s="102">
        <v>0.48</v>
      </c>
      <c r="W133" s="98"/>
      <c r="X133" s="61"/>
    </row>
    <row r="134">
      <c r="A134" s="15">
        <v>45894.0</v>
      </c>
      <c r="B134" s="97" t="s">
        <v>60</v>
      </c>
      <c r="C134" s="53">
        <v>0.144</v>
      </c>
      <c r="D134" s="102">
        <v>0.24</v>
      </c>
      <c r="E134" s="102">
        <v>0.24</v>
      </c>
      <c r="F134" s="97" t="s">
        <v>309</v>
      </c>
      <c r="H134" s="97" t="s">
        <v>112</v>
      </c>
      <c r="I134" s="97" t="s">
        <v>113</v>
      </c>
      <c r="J134" s="20">
        <v>46101.0</v>
      </c>
      <c r="K134" s="98">
        <v>230.0</v>
      </c>
      <c r="L134" s="16">
        <v>1.0</v>
      </c>
      <c r="M134" s="16">
        <v>0.0</v>
      </c>
      <c r="N134" s="16">
        <v>0.0</v>
      </c>
      <c r="O134" s="34">
        <f t="shared" si="35"/>
        <v>0</v>
      </c>
      <c r="P134" s="16">
        <f>-117.41-367.39</f>
        <v>-484.8</v>
      </c>
      <c r="Q134" s="156">
        <f t="shared" si="36"/>
        <v>-484.8</v>
      </c>
      <c r="R134" s="16" t="s">
        <v>372</v>
      </c>
      <c r="S134" s="53">
        <f t="shared" si="37"/>
        <v>-0.02107826087</v>
      </c>
      <c r="T134" s="102">
        <v>0.59</v>
      </c>
      <c r="U134" s="102">
        <v>0.35</v>
      </c>
      <c r="W134" s="98"/>
      <c r="X134" s="61"/>
    </row>
    <row r="135">
      <c r="A135" s="15"/>
      <c r="D135" s="102"/>
      <c r="E135" s="102"/>
      <c r="F135" s="97"/>
      <c r="I135" s="97"/>
      <c r="K135" s="98"/>
      <c r="O135" s="34"/>
      <c r="Q135" s="70"/>
      <c r="S135" s="102"/>
      <c r="T135" s="102"/>
      <c r="U135" s="102"/>
      <c r="W135" s="98"/>
    </row>
    <row r="136">
      <c r="A136" s="97"/>
      <c r="B136" s="20"/>
      <c r="D136" s="102"/>
      <c r="E136" s="102"/>
      <c r="F136" s="97"/>
      <c r="I136" s="97"/>
      <c r="K136" s="98"/>
      <c r="O136" s="34"/>
      <c r="Q136" s="70"/>
      <c r="R136" s="44"/>
      <c r="S136" s="102"/>
      <c r="T136" s="102"/>
      <c r="U136" s="102"/>
      <c r="W136" s="98"/>
      <c r="X136" s="61"/>
    </row>
    <row r="137">
      <c r="A137" s="97"/>
      <c r="B137" s="20"/>
      <c r="I137" s="97"/>
      <c r="K137" s="98"/>
      <c r="O137" s="34"/>
      <c r="Q137" s="70"/>
      <c r="S137" s="102"/>
      <c r="T137" s="102"/>
      <c r="U137" s="102"/>
      <c r="W137" s="98"/>
      <c r="X137" s="61"/>
    </row>
    <row r="138">
      <c r="A138" s="97"/>
      <c r="B138" s="20"/>
      <c r="D138" s="102"/>
      <c r="E138" s="102"/>
      <c r="F138" s="97"/>
      <c r="I138" s="97"/>
      <c r="K138" s="98"/>
      <c r="O138" s="34"/>
      <c r="Q138" s="70"/>
      <c r="S138" s="102"/>
      <c r="T138" s="102"/>
      <c r="U138" s="102"/>
      <c r="W138" s="98"/>
      <c r="X138" s="61"/>
    </row>
    <row r="139">
      <c r="A139" s="97"/>
      <c r="B139" s="20"/>
      <c r="D139" s="102"/>
      <c r="E139" s="102"/>
      <c r="F139" s="97"/>
      <c r="I139" s="97"/>
      <c r="K139" s="98"/>
      <c r="O139" s="34"/>
      <c r="Q139" s="70"/>
      <c r="S139" s="102"/>
      <c r="T139" s="102"/>
      <c r="U139" s="102"/>
      <c r="W139" s="98"/>
    </row>
    <row r="140">
      <c r="A140" s="97"/>
      <c r="B140" s="20"/>
      <c r="I140" s="97"/>
      <c r="K140" s="98"/>
      <c r="O140" s="34"/>
      <c r="Q140" s="70"/>
      <c r="S140" s="102"/>
      <c r="T140" s="102"/>
      <c r="U140" s="102"/>
      <c r="W140" s="98"/>
    </row>
    <row r="141">
      <c r="A141" s="97"/>
      <c r="B141" s="20"/>
      <c r="I141" s="97"/>
      <c r="K141" s="98"/>
      <c r="O141" s="34"/>
      <c r="Q141" s="70"/>
      <c r="S141" s="102"/>
      <c r="T141" s="102"/>
      <c r="U141" s="102"/>
      <c r="W141" s="98"/>
      <c r="X141" s="61"/>
    </row>
    <row r="142">
      <c r="A142" s="133"/>
      <c r="B142" s="24"/>
      <c r="C142" s="102"/>
      <c r="D142" s="22"/>
      <c r="E142" s="102"/>
      <c r="F142" s="97"/>
      <c r="I142" s="97"/>
      <c r="O142" s="34"/>
      <c r="Q142" s="70"/>
      <c r="R142" s="44"/>
    </row>
    <row r="143">
      <c r="A143" s="133"/>
      <c r="B143" s="97"/>
      <c r="C143" s="102"/>
      <c r="E143" s="102"/>
      <c r="F143" s="97"/>
      <c r="I143" s="97"/>
      <c r="O143" s="34"/>
      <c r="Q143" s="70"/>
      <c r="S143" s="102"/>
      <c r="T143" s="102"/>
      <c r="U143" s="102"/>
    </row>
    <row r="144">
      <c r="A144" s="133"/>
      <c r="B144" s="97"/>
      <c r="C144" s="102"/>
      <c r="D144" s="102"/>
      <c r="E144" s="102"/>
      <c r="F144" s="97"/>
      <c r="I144" s="97"/>
      <c r="O144" s="34"/>
      <c r="Q144" s="70"/>
      <c r="R144" s="44"/>
      <c r="S144" s="102"/>
      <c r="T144" s="102"/>
      <c r="U144" s="102"/>
    </row>
    <row r="145">
      <c r="A145" s="133"/>
      <c r="B145" s="97"/>
      <c r="C145" s="102"/>
      <c r="D145" s="102"/>
      <c r="E145" s="102"/>
      <c r="F145" s="97"/>
      <c r="I145" s="97"/>
      <c r="O145" s="34"/>
      <c r="Q145" s="70"/>
      <c r="R145" s="44"/>
      <c r="S145" s="102"/>
      <c r="T145" s="102"/>
      <c r="U145" s="102"/>
    </row>
    <row r="146">
      <c r="A146" s="133"/>
      <c r="B146" s="97"/>
      <c r="C146" s="102"/>
      <c r="D146" s="102"/>
      <c r="E146" s="102"/>
      <c r="F146" s="97"/>
    </row>
    <row r="147">
      <c r="A147" s="164"/>
      <c r="B147" s="97"/>
      <c r="C147" s="102"/>
      <c r="D147" s="102"/>
      <c r="E147" s="102"/>
      <c r="F147" s="97"/>
      <c r="I147" s="97"/>
      <c r="K147" s="98"/>
      <c r="O147" s="34"/>
      <c r="Q147" s="70"/>
      <c r="S147" s="102"/>
      <c r="T147" s="102"/>
      <c r="U147" s="102"/>
      <c r="W147" s="98"/>
      <c r="X147" s="61"/>
    </row>
    <row r="148">
      <c r="A148" s="164"/>
      <c r="B148" s="97"/>
      <c r="C148" s="107"/>
      <c r="D148" s="102"/>
      <c r="E148" s="102"/>
      <c r="F148" s="97"/>
      <c r="I148" s="97"/>
      <c r="K148" s="98"/>
      <c r="O148" s="34"/>
      <c r="Q148" s="70"/>
    </row>
    <row r="149">
      <c r="A149" s="164"/>
      <c r="B149" s="97"/>
      <c r="C149" s="102"/>
      <c r="D149" s="102"/>
      <c r="E149" s="102"/>
      <c r="F149" s="97"/>
      <c r="I149" s="97"/>
      <c r="K149" s="98"/>
      <c r="O149" s="34"/>
      <c r="Q149" s="70"/>
      <c r="S149" s="102"/>
      <c r="T149" s="102"/>
      <c r="U149" s="102"/>
      <c r="W149" s="98"/>
      <c r="X149" s="61"/>
    </row>
    <row r="150">
      <c r="A150" s="164"/>
      <c r="B150" s="97"/>
      <c r="C150" s="102"/>
      <c r="D150" s="102"/>
      <c r="E150" s="102"/>
      <c r="F150" s="97"/>
      <c r="I150" s="97"/>
      <c r="K150" s="98"/>
      <c r="O150" s="34"/>
      <c r="Q150" s="72"/>
      <c r="S150" s="102"/>
      <c r="T150" s="102"/>
      <c r="U150" s="102"/>
      <c r="W150" s="98"/>
      <c r="X150" s="61"/>
    </row>
    <row r="151">
      <c r="A151" s="164"/>
      <c r="B151" s="97"/>
      <c r="C151" s="102"/>
      <c r="D151" s="102"/>
      <c r="E151" s="102"/>
      <c r="F151" s="97"/>
      <c r="K151" s="108"/>
      <c r="Q151" s="70"/>
      <c r="Y151" s="165"/>
    </row>
    <row r="152">
      <c r="A152" s="164"/>
      <c r="B152" s="97"/>
      <c r="C152" s="102"/>
      <c r="D152" s="102"/>
      <c r="E152" s="102"/>
      <c r="F152" s="97"/>
      <c r="I152" s="97"/>
      <c r="K152" s="98"/>
      <c r="O152" s="34"/>
      <c r="Q152" s="72"/>
    </row>
    <row r="153">
      <c r="A153" s="164"/>
      <c r="B153" s="97"/>
      <c r="C153" s="102"/>
      <c r="D153" s="102"/>
      <c r="E153" s="102"/>
      <c r="F153" s="97"/>
      <c r="I153" s="97"/>
      <c r="K153" s="98"/>
      <c r="O153" s="34"/>
      <c r="Q153" s="72"/>
      <c r="S153" s="102"/>
      <c r="T153" s="102"/>
      <c r="U153" s="102"/>
      <c r="W153" s="98"/>
      <c r="X153" s="61"/>
    </row>
    <row r="154">
      <c r="B154" s="97"/>
      <c r="I154" s="97"/>
      <c r="K154" s="98"/>
      <c r="O154" s="34"/>
      <c r="Q154" s="72"/>
      <c r="S154" s="102"/>
      <c r="T154" s="102"/>
      <c r="U154" s="102"/>
      <c r="W154" s="98"/>
      <c r="X154" s="61"/>
    </row>
    <row r="155">
      <c r="A155" s="15"/>
      <c r="B155" s="97"/>
      <c r="C155" s="102"/>
      <c r="D155" s="102"/>
      <c r="E155" s="102"/>
      <c r="F155" s="97"/>
      <c r="I155" s="97"/>
      <c r="K155" s="98"/>
      <c r="O155" s="34"/>
      <c r="Q155" s="72"/>
      <c r="S155" s="102"/>
      <c r="T155" s="102"/>
      <c r="U155" s="102"/>
      <c r="W155" s="102"/>
      <c r="X155" s="61"/>
    </row>
    <row r="156">
      <c r="A156" s="15"/>
      <c r="B156" s="97"/>
      <c r="C156" s="102"/>
      <c r="D156" s="102"/>
      <c r="E156" s="102"/>
      <c r="F156" s="97"/>
      <c r="K156" s="98"/>
      <c r="O156" s="34"/>
      <c r="Q156" s="34"/>
      <c r="S156" s="102"/>
      <c r="T156" s="102"/>
      <c r="U156" s="102"/>
      <c r="W156" s="98"/>
      <c r="X156" s="102"/>
    </row>
    <row r="157">
      <c r="A157" s="15"/>
      <c r="B157" s="97"/>
      <c r="C157" s="102"/>
      <c r="D157" s="102"/>
      <c r="E157" s="102"/>
      <c r="F157" s="97"/>
      <c r="K157" s="98"/>
      <c r="O157" s="34"/>
      <c r="Q157" s="34"/>
      <c r="S157" s="102"/>
      <c r="T157" s="102"/>
      <c r="U157" s="102"/>
      <c r="W157" s="98"/>
    </row>
    <row r="158">
      <c r="A158" s="133"/>
      <c r="B158" s="103"/>
      <c r="K158" s="108"/>
    </row>
    <row r="159">
      <c r="A159" s="133"/>
      <c r="B159" s="97"/>
      <c r="C159" s="102"/>
      <c r="D159" s="102"/>
      <c r="E159" s="102"/>
      <c r="F159" s="97"/>
      <c r="K159" s="98"/>
      <c r="O159" s="34"/>
      <c r="Q159" s="34"/>
      <c r="S159" s="102"/>
      <c r="T159" s="102"/>
      <c r="U159" s="102"/>
      <c r="W159" s="98"/>
    </row>
    <row r="160">
      <c r="A160" s="133"/>
      <c r="B160" s="97"/>
      <c r="C160" s="102"/>
      <c r="D160" s="102"/>
      <c r="E160" s="102"/>
      <c r="F160" s="97"/>
      <c r="K160" s="98"/>
      <c r="O160" s="34"/>
      <c r="Q160" s="34"/>
      <c r="S160" s="102"/>
      <c r="T160" s="102"/>
      <c r="U160" s="102"/>
      <c r="W160" s="98"/>
    </row>
    <row r="161">
      <c r="A161" s="133"/>
      <c r="B161" s="97"/>
      <c r="C161" s="102"/>
      <c r="D161" s="102"/>
      <c r="E161" s="102"/>
      <c r="F161" s="97"/>
      <c r="K161" s="98"/>
      <c r="O161" s="34"/>
      <c r="Q161" s="34"/>
      <c r="R161" s="44"/>
      <c r="S161" s="102"/>
      <c r="T161" s="102"/>
      <c r="U161" s="102"/>
      <c r="W161" s="98"/>
      <c r="X161" s="102"/>
    </row>
    <row r="162">
      <c r="A162" s="133"/>
      <c r="B162" s="97"/>
      <c r="C162" s="102"/>
      <c r="D162" s="102"/>
      <c r="E162" s="102"/>
      <c r="F162" s="97"/>
      <c r="K162" s="98"/>
      <c r="O162" s="34"/>
      <c r="Q162" s="34"/>
      <c r="S162" s="102"/>
      <c r="T162" s="102"/>
      <c r="U162" s="102"/>
      <c r="W162" s="102"/>
      <c r="X162" s="102"/>
    </row>
    <row r="163">
      <c r="A163" s="133"/>
      <c r="B163" s="97"/>
      <c r="C163" s="102"/>
      <c r="D163" s="102"/>
      <c r="E163" s="102"/>
      <c r="F163" s="97"/>
      <c r="K163" s="98"/>
      <c r="O163" s="34"/>
      <c r="Q163" s="34"/>
      <c r="R163" s="44"/>
      <c r="S163" s="102"/>
      <c r="T163" s="102"/>
      <c r="X163" s="102"/>
    </row>
    <row r="164">
      <c r="A164" s="133"/>
      <c r="B164" s="97"/>
      <c r="C164" s="102"/>
      <c r="D164" s="102"/>
      <c r="E164" s="102"/>
      <c r="F164" s="97"/>
      <c r="K164" s="98"/>
      <c r="O164" s="34"/>
      <c r="Q164" s="34"/>
      <c r="S164" s="102"/>
      <c r="T164" s="102"/>
      <c r="U164" s="102"/>
      <c r="W164" s="102"/>
      <c r="X164" s="61"/>
    </row>
    <row r="165">
      <c r="A165" s="15"/>
      <c r="B165" s="97"/>
      <c r="C165" s="102"/>
      <c r="D165" s="102"/>
      <c r="E165" s="53"/>
      <c r="F165" s="97"/>
      <c r="O165" s="34"/>
      <c r="Q165" s="34"/>
      <c r="S165" s="102"/>
      <c r="T165" s="102"/>
      <c r="U165" s="102"/>
    </row>
    <row r="166">
      <c r="A166" s="15"/>
      <c r="B166" s="97"/>
      <c r="C166" s="53"/>
      <c r="E166" s="102"/>
      <c r="O166" s="34"/>
      <c r="Q166" s="34"/>
      <c r="S166" s="102"/>
      <c r="T166" s="102"/>
      <c r="U166" s="102"/>
    </row>
    <row r="167">
      <c r="A167" s="15"/>
      <c r="B167" s="103"/>
      <c r="C167" s="52"/>
    </row>
    <row r="168">
      <c r="A168" s="15"/>
      <c r="C168" s="53"/>
      <c r="D168" s="102"/>
      <c r="E168" s="102"/>
      <c r="F168" s="97"/>
      <c r="O168" s="34"/>
      <c r="Q168" s="34"/>
      <c r="S168" s="102"/>
      <c r="T168" s="102"/>
      <c r="U168" s="102"/>
    </row>
    <row r="169">
      <c r="A169" s="15"/>
      <c r="C169" s="53"/>
      <c r="D169" s="102"/>
      <c r="E169" s="102"/>
      <c r="F169" s="97"/>
      <c r="O169" s="34"/>
      <c r="Q169" s="34"/>
      <c r="R169" s="44"/>
      <c r="S169" s="102"/>
      <c r="T169" s="102"/>
      <c r="U169" s="102"/>
    </row>
    <row r="170">
      <c r="A170" s="15"/>
      <c r="C170" s="53"/>
      <c r="D170" s="102"/>
      <c r="E170" s="102"/>
      <c r="F170" s="97"/>
      <c r="O170" s="34"/>
      <c r="Q170" s="34"/>
      <c r="S170" s="102"/>
      <c r="T170" s="102"/>
      <c r="U170" s="102"/>
    </row>
    <row r="171">
      <c r="A171" s="15"/>
      <c r="C171" s="53"/>
      <c r="D171" s="102"/>
      <c r="E171" s="102"/>
      <c r="F171" s="97"/>
      <c r="O171" s="34"/>
      <c r="Q171" s="34"/>
      <c r="S171" s="102"/>
      <c r="T171" s="102"/>
      <c r="U171" s="102"/>
    </row>
    <row r="172">
      <c r="A172" s="135"/>
      <c r="B172" s="141"/>
      <c r="C172" s="137"/>
      <c r="D172" s="138"/>
      <c r="E172" s="138"/>
      <c r="F172" s="139"/>
      <c r="G172" s="140"/>
      <c r="H172" s="141"/>
      <c r="I172" s="142"/>
      <c r="J172" s="142"/>
      <c r="O172" s="34"/>
      <c r="Q172" s="34"/>
      <c r="S172" s="102"/>
      <c r="T172" s="102"/>
      <c r="U172" s="102"/>
      <c r="X172" s="61"/>
    </row>
    <row r="173">
      <c r="A173" s="15"/>
      <c r="C173" s="107"/>
      <c r="D173" s="53"/>
      <c r="E173" s="53"/>
      <c r="F173" s="139"/>
      <c r="O173" s="34"/>
      <c r="Q173" s="34"/>
      <c r="S173" s="102"/>
      <c r="T173" s="102"/>
    </row>
    <row r="174">
      <c r="A174" s="15"/>
      <c r="C174" s="107"/>
      <c r="D174" s="53"/>
      <c r="E174" s="53"/>
      <c r="F174" s="139"/>
      <c r="K174" s="98"/>
      <c r="O174" s="34"/>
      <c r="Q174" s="34"/>
      <c r="S174" s="102"/>
      <c r="T174" s="102"/>
      <c r="U174" s="102"/>
      <c r="W174" s="102"/>
      <c r="X174" s="61"/>
    </row>
    <row r="175">
      <c r="A175" s="15"/>
      <c r="C175" s="107"/>
      <c r="D175" s="53"/>
      <c r="E175" s="53"/>
      <c r="F175" s="139"/>
      <c r="O175" s="34"/>
      <c r="Q175" s="34"/>
      <c r="S175" s="102"/>
      <c r="T175" s="102"/>
      <c r="X175" s="102"/>
    </row>
    <row r="176">
      <c r="A176" s="15"/>
      <c r="C176" s="107"/>
      <c r="D176" s="53"/>
      <c r="E176" s="53"/>
      <c r="F176" s="139"/>
      <c r="O176" s="34"/>
      <c r="Q176" s="34"/>
      <c r="S176" s="102"/>
      <c r="T176" s="102"/>
    </row>
    <row r="178">
      <c r="A178" s="20"/>
      <c r="C178" s="102"/>
      <c r="D178" s="102"/>
      <c r="E178" s="102"/>
      <c r="F178" s="97"/>
      <c r="O178" s="34"/>
      <c r="Q178" s="34"/>
      <c r="S178" s="102"/>
      <c r="T178" s="102"/>
      <c r="U178" s="102"/>
      <c r="W178" s="98"/>
    </row>
    <row r="179">
      <c r="A179" s="20"/>
      <c r="C179" s="102"/>
      <c r="D179" s="102"/>
      <c r="E179" s="102"/>
      <c r="F179" s="97"/>
      <c r="O179" s="34"/>
      <c r="Q179" s="34"/>
      <c r="S179" s="102"/>
      <c r="T179" s="102"/>
      <c r="U179" s="102"/>
      <c r="W179" s="98"/>
    </row>
    <row r="180">
      <c r="A180" s="20"/>
      <c r="C180" s="102"/>
      <c r="D180" s="102"/>
      <c r="E180" s="102"/>
      <c r="F180" s="97"/>
      <c r="K180" s="98"/>
      <c r="O180" s="34"/>
      <c r="Q180" s="34"/>
      <c r="S180" s="102"/>
      <c r="T180" s="102"/>
      <c r="U180" s="102"/>
      <c r="W180" s="102"/>
      <c r="X180" s="61"/>
    </row>
    <row r="181">
      <c r="A181" s="20"/>
      <c r="C181" s="102"/>
      <c r="D181" s="102"/>
      <c r="E181" s="102"/>
      <c r="F181" s="97"/>
      <c r="O181" s="34"/>
      <c r="Q181" s="34"/>
      <c r="R181" s="44"/>
      <c r="S181" s="102"/>
      <c r="T181" s="102"/>
      <c r="U181" s="102"/>
    </row>
    <row r="182">
      <c r="A182" s="20"/>
      <c r="C182" s="102"/>
      <c r="D182" s="102"/>
      <c r="E182" s="102"/>
      <c r="F182" s="97"/>
      <c r="O182" s="34"/>
      <c r="Q182" s="34"/>
      <c r="S182" s="102"/>
      <c r="T182" s="102"/>
      <c r="U182" s="102"/>
    </row>
    <row r="183">
      <c r="C183" s="102"/>
      <c r="D183" s="107"/>
      <c r="E183" s="107"/>
      <c r="F183" s="97"/>
      <c r="K183" s="98"/>
      <c r="O183" s="34"/>
      <c r="Q183" s="34"/>
      <c r="S183" s="102"/>
      <c r="T183" s="102"/>
      <c r="U183" s="102"/>
      <c r="W183" s="102"/>
      <c r="X183" s="102"/>
    </row>
    <row r="185">
      <c r="A185" s="20"/>
      <c r="C185" s="102"/>
      <c r="D185" s="107"/>
      <c r="E185" s="107"/>
      <c r="F185" s="97"/>
      <c r="O185" s="34"/>
      <c r="Q185" s="34"/>
      <c r="S185" s="102"/>
      <c r="T185" s="102"/>
      <c r="U185" s="102"/>
    </row>
    <row r="186">
      <c r="A186" s="20"/>
      <c r="C186" s="102"/>
      <c r="D186" s="102"/>
      <c r="E186" s="102"/>
      <c r="F186" s="97"/>
      <c r="O186" s="34"/>
      <c r="Q186" s="34"/>
      <c r="S186" s="102"/>
      <c r="T186" s="102"/>
      <c r="U186" s="102"/>
    </row>
    <row r="187">
      <c r="A187" s="20"/>
      <c r="C187" s="102"/>
      <c r="D187" s="102"/>
      <c r="E187" s="102"/>
      <c r="F187" s="97"/>
      <c r="O187" s="34"/>
      <c r="Q187" s="34"/>
      <c r="S187" s="102"/>
      <c r="T187" s="102"/>
      <c r="U187" s="102"/>
    </row>
    <row r="188">
      <c r="A188" s="20"/>
      <c r="C188" s="102"/>
      <c r="D188" s="107"/>
      <c r="E188" s="107"/>
      <c r="F188" s="97"/>
      <c r="K188" s="98"/>
      <c r="O188" s="34"/>
      <c r="Q188" s="34"/>
      <c r="S188" s="102"/>
      <c r="T188" s="102"/>
      <c r="U188" s="102"/>
      <c r="W188" s="102"/>
      <c r="X188" s="102"/>
    </row>
    <row r="190">
      <c r="A190" s="20"/>
      <c r="C190" s="107"/>
      <c r="D190" s="102"/>
      <c r="E190" s="102"/>
      <c r="F190" s="97"/>
      <c r="O190" s="34"/>
      <c r="Q190" s="34"/>
      <c r="S190" s="102"/>
      <c r="T190" s="102"/>
    </row>
    <row r="191">
      <c r="A191" s="20"/>
      <c r="O191" s="34"/>
      <c r="Q191" s="34"/>
    </row>
    <row r="192">
      <c r="A192" s="20"/>
      <c r="O192" s="34"/>
      <c r="Q192" s="34"/>
    </row>
    <row r="193">
      <c r="A193" s="20"/>
      <c r="O193" s="34"/>
      <c r="Q193" s="34"/>
    </row>
    <row r="194">
      <c r="B194" s="103"/>
    </row>
    <row r="195">
      <c r="B195" s="103"/>
    </row>
    <row r="196">
      <c r="B196" s="103"/>
    </row>
    <row r="197">
      <c r="B197" s="103"/>
    </row>
    <row r="198">
      <c r="B198" s="103"/>
    </row>
    <row r="199">
      <c r="B199" s="103"/>
    </row>
    <row r="200">
      <c r="B200" s="103"/>
    </row>
    <row r="201">
      <c r="B201" s="103"/>
    </row>
    <row r="202">
      <c r="B202" s="103"/>
    </row>
    <row r="203">
      <c r="B203" s="103"/>
    </row>
    <row r="204">
      <c r="B204" s="103"/>
    </row>
    <row r="205">
      <c r="B205" s="103"/>
    </row>
    <row r="206">
      <c r="B206" s="103"/>
    </row>
    <row r="207">
      <c r="B207" s="103"/>
    </row>
    <row r="208">
      <c r="B208" s="103"/>
    </row>
    <row r="209">
      <c r="B209" s="103"/>
    </row>
    <row r="210">
      <c r="B210" s="103"/>
    </row>
    <row r="211">
      <c r="B211" s="103"/>
    </row>
    <row r="212">
      <c r="B212" s="103"/>
    </row>
    <row r="213">
      <c r="B213" s="103"/>
    </row>
    <row r="214">
      <c r="B214" s="103"/>
    </row>
    <row r="215">
      <c r="B215" s="103"/>
    </row>
    <row r="216">
      <c r="B216" s="103"/>
    </row>
    <row r="217">
      <c r="B217" s="103"/>
    </row>
    <row r="218">
      <c r="B218" s="103"/>
    </row>
    <row r="219">
      <c r="B219" s="103"/>
    </row>
    <row r="220">
      <c r="B220" s="103"/>
    </row>
    <row r="221">
      <c r="B221" s="103"/>
    </row>
    <row r="222">
      <c r="B222" s="103"/>
    </row>
    <row r="223">
      <c r="B223" s="103"/>
    </row>
    <row r="224">
      <c r="B224" s="103"/>
    </row>
    <row r="225">
      <c r="B225" s="103"/>
    </row>
    <row r="226">
      <c r="B226" s="103"/>
    </row>
    <row r="227">
      <c r="B227" s="103"/>
    </row>
    <row r="228">
      <c r="B228" s="103"/>
    </row>
    <row r="229">
      <c r="B229" s="103"/>
    </row>
    <row r="230">
      <c r="B230" s="103"/>
    </row>
    <row r="231">
      <c r="B231" s="103"/>
    </row>
    <row r="232">
      <c r="B232" s="103"/>
    </row>
    <row r="233">
      <c r="B233" s="103"/>
    </row>
    <row r="234">
      <c r="B234" s="103"/>
    </row>
    <row r="235">
      <c r="B235" s="103"/>
    </row>
    <row r="236">
      <c r="B236" s="103"/>
    </row>
    <row r="237">
      <c r="B237" s="103"/>
    </row>
    <row r="238">
      <c r="B238" s="103"/>
    </row>
    <row r="239">
      <c r="B239" s="103"/>
    </row>
    <row r="240">
      <c r="B240" s="103"/>
    </row>
    <row r="241">
      <c r="B241" s="103"/>
    </row>
    <row r="242">
      <c r="B242" s="103"/>
    </row>
    <row r="243">
      <c r="B243" s="103"/>
    </row>
    <row r="244">
      <c r="B244" s="103"/>
    </row>
    <row r="245">
      <c r="B245" s="103"/>
    </row>
    <row r="246">
      <c r="B246" s="103"/>
    </row>
    <row r="247">
      <c r="B247" s="103"/>
    </row>
    <row r="248">
      <c r="B248" s="103"/>
    </row>
    <row r="249">
      <c r="B249" s="103"/>
    </row>
    <row r="250">
      <c r="B250" s="103"/>
    </row>
    <row r="251">
      <c r="B251" s="103"/>
    </row>
    <row r="252">
      <c r="B252" s="103"/>
    </row>
    <row r="253">
      <c r="B253" s="103"/>
    </row>
    <row r="254">
      <c r="B254" s="103"/>
    </row>
    <row r="255">
      <c r="B255" s="103"/>
    </row>
    <row r="256">
      <c r="B256" s="103"/>
    </row>
    <row r="257">
      <c r="B257" s="103"/>
    </row>
    <row r="258">
      <c r="B258" s="103"/>
    </row>
    <row r="259">
      <c r="B259" s="103"/>
    </row>
    <row r="260">
      <c r="B260" s="103"/>
    </row>
    <row r="261">
      <c r="B261" s="103"/>
    </row>
    <row r="262">
      <c r="B262" s="103"/>
    </row>
    <row r="263">
      <c r="B263" s="103"/>
    </row>
    <row r="264">
      <c r="B264" s="103"/>
    </row>
    <row r="265">
      <c r="B265" s="103"/>
    </row>
    <row r="266">
      <c r="B266" s="103"/>
    </row>
    <row r="267">
      <c r="B267" s="103"/>
    </row>
    <row r="268">
      <c r="B268" s="103"/>
    </row>
    <row r="269">
      <c r="B269" s="103"/>
    </row>
    <row r="270">
      <c r="B270" s="103"/>
    </row>
    <row r="271">
      <c r="B271" s="103"/>
    </row>
    <row r="272">
      <c r="B272" s="103"/>
    </row>
    <row r="273">
      <c r="B273" s="103"/>
    </row>
    <row r="274">
      <c r="B274" s="103"/>
    </row>
    <row r="275">
      <c r="B275" s="103"/>
    </row>
    <row r="276">
      <c r="B276" s="103"/>
    </row>
    <row r="277">
      <c r="B277" s="103"/>
    </row>
    <row r="278">
      <c r="B278" s="103"/>
    </row>
    <row r="279">
      <c r="B279" s="103"/>
    </row>
    <row r="280">
      <c r="B280" s="103"/>
    </row>
    <row r="281">
      <c r="B281" s="103"/>
    </row>
    <row r="282">
      <c r="B282" s="103"/>
    </row>
    <row r="283">
      <c r="B283" s="103"/>
    </row>
    <row r="284">
      <c r="B284" s="103"/>
    </row>
    <row r="285">
      <c r="B285" s="103"/>
    </row>
    <row r="286">
      <c r="B286" s="103"/>
    </row>
    <row r="287">
      <c r="B287" s="103"/>
    </row>
    <row r="288">
      <c r="B288" s="103"/>
    </row>
    <row r="289">
      <c r="B289" s="103"/>
    </row>
    <row r="290">
      <c r="B290" s="103"/>
    </row>
    <row r="291">
      <c r="B291" s="103"/>
    </row>
    <row r="292">
      <c r="B292" s="103"/>
    </row>
    <row r="293">
      <c r="B293" s="103"/>
    </row>
    <row r="294">
      <c r="B294" s="103"/>
    </row>
    <row r="295">
      <c r="B295" s="103"/>
    </row>
    <row r="296">
      <c r="B296" s="103"/>
    </row>
    <row r="297">
      <c r="B297" s="103"/>
    </row>
    <row r="298">
      <c r="B298" s="103"/>
    </row>
    <row r="299">
      <c r="B299" s="103"/>
    </row>
    <row r="300">
      <c r="B300" s="103"/>
    </row>
    <row r="301">
      <c r="B301" s="103"/>
    </row>
    <row r="302">
      <c r="B302" s="103"/>
    </row>
    <row r="303">
      <c r="B303" s="103"/>
    </row>
    <row r="304">
      <c r="B304" s="103"/>
    </row>
    <row r="305">
      <c r="B305" s="103"/>
    </row>
    <row r="306">
      <c r="B306" s="103"/>
    </row>
    <row r="307">
      <c r="B307" s="103"/>
    </row>
    <row r="308">
      <c r="B308" s="103"/>
    </row>
    <row r="309">
      <c r="B309" s="103"/>
    </row>
    <row r="310">
      <c r="B310" s="103"/>
    </row>
    <row r="311">
      <c r="B311" s="103"/>
    </row>
    <row r="312">
      <c r="B312" s="103"/>
    </row>
    <row r="313">
      <c r="B313" s="103"/>
    </row>
    <row r="314">
      <c r="B314" s="103"/>
    </row>
    <row r="315">
      <c r="B315" s="103"/>
    </row>
    <row r="316">
      <c r="B316" s="103"/>
    </row>
    <row r="317">
      <c r="B317" s="103"/>
    </row>
    <row r="318">
      <c r="B318" s="103"/>
    </row>
    <row r="319">
      <c r="B319" s="103"/>
    </row>
    <row r="320">
      <c r="B320" s="103"/>
    </row>
    <row r="321">
      <c r="B321" s="103"/>
    </row>
    <row r="322">
      <c r="B322" s="103"/>
    </row>
    <row r="323">
      <c r="B323" s="103"/>
    </row>
    <row r="324">
      <c r="B324" s="103"/>
    </row>
    <row r="325">
      <c r="B325" s="103"/>
    </row>
    <row r="326">
      <c r="B326" s="103"/>
    </row>
    <row r="327">
      <c r="B327" s="103"/>
    </row>
    <row r="328">
      <c r="B328" s="103"/>
    </row>
    <row r="329">
      <c r="B329" s="103"/>
    </row>
    <row r="330">
      <c r="B330" s="103"/>
    </row>
    <row r="331">
      <c r="B331" s="103"/>
    </row>
    <row r="332">
      <c r="B332" s="103"/>
    </row>
    <row r="333">
      <c r="B333" s="103"/>
    </row>
    <row r="334">
      <c r="B334" s="103"/>
    </row>
    <row r="335">
      <c r="B335" s="103"/>
    </row>
    <row r="336">
      <c r="B336" s="103"/>
    </row>
    <row r="337">
      <c r="B337" s="103"/>
    </row>
    <row r="338">
      <c r="B338" s="103"/>
    </row>
    <row r="339">
      <c r="B339" s="103"/>
    </row>
    <row r="340">
      <c r="B340" s="103"/>
    </row>
    <row r="341">
      <c r="B341" s="103"/>
    </row>
    <row r="342">
      <c r="B342" s="103"/>
    </row>
    <row r="343">
      <c r="B343" s="103"/>
    </row>
    <row r="344">
      <c r="B344" s="103"/>
    </row>
    <row r="345">
      <c r="B345" s="103"/>
    </row>
    <row r="346">
      <c r="B346" s="103"/>
    </row>
    <row r="347">
      <c r="B347" s="103"/>
    </row>
    <row r="348">
      <c r="B348" s="103"/>
    </row>
    <row r="349">
      <c r="B349" s="103"/>
    </row>
    <row r="350">
      <c r="B350" s="103"/>
    </row>
    <row r="351">
      <c r="B351" s="103"/>
    </row>
    <row r="352">
      <c r="B352" s="103"/>
    </row>
    <row r="353">
      <c r="B353" s="103"/>
    </row>
    <row r="354">
      <c r="B354" s="103"/>
    </row>
    <row r="355">
      <c r="B355" s="103"/>
    </row>
    <row r="356">
      <c r="B356" s="103"/>
    </row>
    <row r="357">
      <c r="B357" s="103"/>
    </row>
    <row r="358">
      <c r="B358" s="103"/>
    </row>
    <row r="359">
      <c r="B359" s="103"/>
    </row>
    <row r="360">
      <c r="B360" s="103"/>
    </row>
    <row r="361">
      <c r="B361" s="103"/>
    </row>
    <row r="362">
      <c r="B362" s="103"/>
    </row>
    <row r="363">
      <c r="B363" s="103"/>
    </row>
    <row r="364">
      <c r="B364" s="103"/>
    </row>
    <row r="365">
      <c r="B365" s="103"/>
    </row>
    <row r="366">
      <c r="B366" s="103"/>
    </row>
    <row r="367">
      <c r="B367" s="103"/>
    </row>
    <row r="368">
      <c r="B368" s="103"/>
    </row>
    <row r="369">
      <c r="B369" s="103"/>
    </row>
    <row r="370">
      <c r="B370" s="103"/>
    </row>
    <row r="371">
      <c r="B371" s="103"/>
    </row>
    <row r="372">
      <c r="B372" s="103"/>
    </row>
    <row r="373">
      <c r="B373" s="103"/>
    </row>
    <row r="374">
      <c r="B374" s="103"/>
    </row>
    <row r="375">
      <c r="B375" s="103"/>
    </row>
    <row r="376">
      <c r="B376" s="103"/>
    </row>
    <row r="377">
      <c r="B377" s="103"/>
    </row>
    <row r="378">
      <c r="B378" s="103"/>
    </row>
    <row r="379">
      <c r="B379" s="103"/>
    </row>
    <row r="380">
      <c r="B380" s="103"/>
    </row>
    <row r="381">
      <c r="B381" s="103"/>
    </row>
    <row r="382">
      <c r="B382" s="103"/>
    </row>
    <row r="383">
      <c r="B383" s="103"/>
    </row>
    <row r="384">
      <c r="B384" s="103"/>
    </row>
    <row r="385">
      <c r="B385" s="103"/>
    </row>
    <row r="386">
      <c r="B386" s="103"/>
    </row>
    <row r="387">
      <c r="B387" s="103"/>
    </row>
    <row r="388">
      <c r="B388" s="103"/>
    </row>
    <row r="389">
      <c r="B389" s="103"/>
    </row>
    <row r="390">
      <c r="B390" s="103"/>
    </row>
    <row r="391">
      <c r="B391" s="103"/>
    </row>
    <row r="392">
      <c r="B392" s="103"/>
    </row>
    <row r="393">
      <c r="B393" s="103"/>
    </row>
    <row r="394">
      <c r="B394" s="103"/>
    </row>
    <row r="395">
      <c r="B395" s="103"/>
    </row>
    <row r="396">
      <c r="B396" s="103"/>
    </row>
    <row r="397">
      <c r="B397" s="103"/>
    </row>
    <row r="398">
      <c r="B398" s="103"/>
    </row>
    <row r="399">
      <c r="B399" s="103"/>
    </row>
    <row r="400">
      <c r="B400" s="103"/>
    </row>
    <row r="401">
      <c r="B401" s="103"/>
    </row>
    <row r="402">
      <c r="B402" s="103"/>
    </row>
    <row r="403">
      <c r="B403" s="103"/>
    </row>
    <row r="404">
      <c r="B404" s="103"/>
    </row>
    <row r="405">
      <c r="B405" s="103"/>
    </row>
    <row r="406">
      <c r="B406" s="103"/>
    </row>
    <row r="407">
      <c r="B407" s="103"/>
    </row>
    <row r="408">
      <c r="B408" s="103"/>
    </row>
    <row r="409">
      <c r="B409" s="103"/>
    </row>
    <row r="410">
      <c r="B410" s="103"/>
    </row>
    <row r="411">
      <c r="B411" s="103"/>
    </row>
    <row r="412">
      <c r="B412" s="103"/>
    </row>
    <row r="413">
      <c r="B413" s="103"/>
    </row>
    <row r="414">
      <c r="B414" s="103"/>
    </row>
    <row r="415">
      <c r="B415" s="103"/>
    </row>
    <row r="416">
      <c r="B416" s="103"/>
    </row>
    <row r="417">
      <c r="B417" s="103"/>
    </row>
    <row r="418">
      <c r="B418" s="103"/>
    </row>
    <row r="419">
      <c r="B419" s="103"/>
    </row>
    <row r="420">
      <c r="B420" s="103"/>
    </row>
    <row r="421">
      <c r="B421" s="103"/>
    </row>
    <row r="422">
      <c r="B422" s="103"/>
    </row>
    <row r="423">
      <c r="B423" s="103"/>
    </row>
    <row r="424">
      <c r="B424" s="103"/>
    </row>
    <row r="425">
      <c r="B425" s="103"/>
    </row>
    <row r="426">
      <c r="B426" s="103"/>
    </row>
    <row r="427">
      <c r="B427" s="103"/>
    </row>
    <row r="428">
      <c r="B428" s="103"/>
    </row>
    <row r="429">
      <c r="B429" s="103"/>
    </row>
    <row r="430">
      <c r="B430" s="103"/>
    </row>
    <row r="431">
      <c r="B431" s="103"/>
    </row>
    <row r="432">
      <c r="B432" s="103"/>
    </row>
    <row r="433">
      <c r="B433" s="103"/>
    </row>
    <row r="434">
      <c r="B434" s="103"/>
    </row>
    <row r="435">
      <c r="B435" s="103"/>
    </row>
    <row r="436">
      <c r="B436" s="103"/>
    </row>
    <row r="437">
      <c r="B437" s="103"/>
    </row>
    <row r="438">
      <c r="B438" s="103"/>
    </row>
    <row r="439">
      <c r="B439" s="103"/>
    </row>
    <row r="440">
      <c r="B440" s="103"/>
    </row>
    <row r="441">
      <c r="B441" s="103"/>
    </row>
    <row r="442">
      <c r="B442" s="103"/>
    </row>
    <row r="443">
      <c r="B443" s="103"/>
    </row>
    <row r="444">
      <c r="B444" s="103"/>
    </row>
    <row r="445">
      <c r="B445" s="103"/>
    </row>
    <row r="446">
      <c r="B446" s="103"/>
    </row>
    <row r="447">
      <c r="B447" s="103"/>
    </row>
    <row r="448">
      <c r="B448" s="103"/>
    </row>
    <row r="449">
      <c r="B449" s="103"/>
    </row>
    <row r="450">
      <c r="B450" s="103"/>
    </row>
    <row r="451">
      <c r="B451" s="103"/>
    </row>
    <row r="452">
      <c r="B452" s="103"/>
    </row>
    <row r="453">
      <c r="B453" s="103"/>
    </row>
    <row r="454">
      <c r="B454" s="103"/>
    </row>
    <row r="455">
      <c r="B455" s="103"/>
    </row>
    <row r="456">
      <c r="B456" s="103"/>
    </row>
    <row r="457">
      <c r="B457" s="103"/>
    </row>
    <row r="458">
      <c r="B458" s="103"/>
    </row>
    <row r="459">
      <c r="B459" s="103"/>
    </row>
    <row r="460">
      <c r="B460" s="103"/>
    </row>
    <row r="461">
      <c r="B461" s="103"/>
    </row>
    <row r="462">
      <c r="B462" s="103"/>
    </row>
    <row r="463">
      <c r="B463" s="103"/>
    </row>
    <row r="464">
      <c r="B464" s="103"/>
    </row>
    <row r="465">
      <c r="B465" s="103"/>
    </row>
    <row r="466">
      <c r="B466" s="103"/>
    </row>
    <row r="467">
      <c r="B467" s="103"/>
    </row>
    <row r="468">
      <c r="B468" s="103"/>
    </row>
    <row r="469">
      <c r="B469" s="103"/>
    </row>
    <row r="470">
      <c r="B470" s="103"/>
    </row>
    <row r="471">
      <c r="B471" s="103"/>
    </row>
    <row r="472">
      <c r="B472" s="103"/>
    </row>
    <row r="473">
      <c r="B473" s="103"/>
    </row>
    <row r="474">
      <c r="B474" s="103"/>
    </row>
    <row r="475">
      <c r="B475" s="103"/>
    </row>
    <row r="476">
      <c r="B476" s="103"/>
    </row>
    <row r="477">
      <c r="B477" s="103"/>
    </row>
    <row r="478">
      <c r="B478" s="103"/>
    </row>
    <row r="479">
      <c r="B479" s="103"/>
    </row>
    <row r="480">
      <c r="B480" s="103"/>
    </row>
    <row r="481">
      <c r="B481" s="103"/>
    </row>
    <row r="482">
      <c r="B482" s="103"/>
    </row>
    <row r="483">
      <c r="B483" s="103"/>
    </row>
    <row r="484">
      <c r="B484" s="103"/>
    </row>
    <row r="485">
      <c r="B485" s="103"/>
    </row>
    <row r="486">
      <c r="B486" s="103"/>
    </row>
    <row r="487">
      <c r="B487" s="103"/>
    </row>
    <row r="488">
      <c r="B488" s="103"/>
    </row>
    <row r="489">
      <c r="B489" s="103"/>
    </row>
    <row r="490">
      <c r="B490" s="103"/>
    </row>
    <row r="491">
      <c r="B491" s="103"/>
    </row>
    <row r="492">
      <c r="B492" s="103"/>
    </row>
    <row r="493">
      <c r="B493" s="103"/>
    </row>
    <row r="494">
      <c r="B494" s="103"/>
    </row>
    <row r="495">
      <c r="B495" s="103"/>
    </row>
    <row r="496">
      <c r="B496" s="103"/>
    </row>
    <row r="497">
      <c r="B497" s="103"/>
    </row>
    <row r="498">
      <c r="B498" s="103"/>
    </row>
    <row r="499">
      <c r="B499" s="103"/>
    </row>
    <row r="500">
      <c r="B500" s="103"/>
    </row>
    <row r="501">
      <c r="B501" s="103"/>
    </row>
    <row r="502">
      <c r="B502" s="103"/>
    </row>
    <row r="503">
      <c r="B503" s="103"/>
    </row>
    <row r="504">
      <c r="B504" s="103"/>
    </row>
    <row r="505">
      <c r="B505" s="103"/>
    </row>
    <row r="506">
      <c r="B506" s="103"/>
    </row>
    <row r="507">
      <c r="B507" s="103"/>
    </row>
    <row r="508">
      <c r="B508" s="103"/>
    </row>
    <row r="509">
      <c r="B509" s="103"/>
    </row>
    <row r="510">
      <c r="B510" s="103"/>
    </row>
    <row r="511">
      <c r="B511" s="103"/>
    </row>
    <row r="512">
      <c r="B512" s="103"/>
    </row>
    <row r="513">
      <c r="B513" s="103"/>
    </row>
    <row r="514">
      <c r="B514" s="103"/>
    </row>
    <row r="515">
      <c r="B515" s="103"/>
    </row>
    <row r="516">
      <c r="B516" s="103"/>
    </row>
    <row r="517">
      <c r="B517" s="103"/>
    </row>
    <row r="518">
      <c r="B518" s="103"/>
    </row>
    <row r="519">
      <c r="B519" s="103"/>
    </row>
    <row r="520">
      <c r="B520" s="103"/>
    </row>
    <row r="521">
      <c r="B521" s="103"/>
    </row>
    <row r="522">
      <c r="B522" s="103"/>
    </row>
    <row r="523">
      <c r="B523" s="103"/>
    </row>
    <row r="524">
      <c r="B524" s="103"/>
    </row>
    <row r="525">
      <c r="B525" s="103"/>
    </row>
    <row r="526">
      <c r="B526" s="103"/>
    </row>
    <row r="527">
      <c r="B527" s="103"/>
    </row>
    <row r="528">
      <c r="B528" s="103"/>
    </row>
    <row r="529">
      <c r="B529" s="103"/>
    </row>
    <row r="530">
      <c r="B530" s="103"/>
    </row>
    <row r="531">
      <c r="B531" s="103"/>
    </row>
    <row r="532">
      <c r="B532" s="103"/>
    </row>
    <row r="533">
      <c r="B533" s="103"/>
    </row>
    <row r="534">
      <c r="B534" s="103"/>
    </row>
    <row r="535">
      <c r="B535" s="103"/>
    </row>
    <row r="536">
      <c r="B536" s="103"/>
    </row>
    <row r="537">
      <c r="B537" s="103"/>
    </row>
    <row r="538">
      <c r="B538" s="103"/>
    </row>
    <row r="539">
      <c r="B539" s="103"/>
    </row>
    <row r="540">
      <c r="B540" s="103"/>
    </row>
    <row r="541">
      <c r="B541" s="103"/>
    </row>
    <row r="542">
      <c r="B542" s="103"/>
    </row>
    <row r="543">
      <c r="B543" s="103"/>
    </row>
    <row r="544">
      <c r="B544" s="103"/>
    </row>
    <row r="545">
      <c r="B545" s="103"/>
    </row>
    <row r="546">
      <c r="B546" s="103"/>
    </row>
    <row r="547">
      <c r="B547" s="103"/>
    </row>
    <row r="548">
      <c r="B548" s="103"/>
    </row>
    <row r="549">
      <c r="B549" s="103"/>
    </row>
    <row r="550">
      <c r="B550" s="103"/>
    </row>
    <row r="551">
      <c r="B551" s="103"/>
    </row>
    <row r="552">
      <c r="B552" s="103"/>
    </row>
    <row r="553">
      <c r="B553" s="103"/>
    </row>
    <row r="554">
      <c r="B554" s="103"/>
    </row>
    <row r="555">
      <c r="B555" s="103"/>
    </row>
    <row r="556">
      <c r="B556" s="103"/>
    </row>
    <row r="557">
      <c r="B557" s="103"/>
    </row>
    <row r="558">
      <c r="B558" s="103"/>
    </row>
    <row r="559">
      <c r="B559" s="103"/>
    </row>
    <row r="560">
      <c r="B560" s="103"/>
    </row>
    <row r="561">
      <c r="B561" s="103"/>
    </row>
    <row r="562">
      <c r="B562" s="103"/>
    </row>
    <row r="563">
      <c r="B563" s="103"/>
    </row>
    <row r="564">
      <c r="B564" s="103"/>
    </row>
    <row r="565">
      <c r="B565" s="103"/>
    </row>
    <row r="566">
      <c r="B566" s="103"/>
    </row>
    <row r="567">
      <c r="B567" s="103"/>
    </row>
    <row r="568">
      <c r="B568" s="103"/>
    </row>
    <row r="569">
      <c r="B569" s="103"/>
    </row>
    <row r="570">
      <c r="B570" s="103"/>
    </row>
    <row r="571">
      <c r="B571" s="103"/>
    </row>
    <row r="572">
      <c r="B572" s="103"/>
    </row>
    <row r="573">
      <c r="B573" s="103"/>
    </row>
    <row r="574">
      <c r="B574" s="103"/>
    </row>
    <row r="575">
      <c r="B575" s="103"/>
    </row>
    <row r="576">
      <c r="B576" s="103"/>
    </row>
    <row r="577">
      <c r="B577" s="103"/>
    </row>
    <row r="578">
      <c r="B578" s="103"/>
    </row>
    <row r="579">
      <c r="B579" s="103"/>
    </row>
    <row r="580">
      <c r="B580" s="103"/>
    </row>
    <row r="581">
      <c r="B581" s="103"/>
    </row>
    <row r="582">
      <c r="B582" s="103"/>
    </row>
    <row r="583">
      <c r="B583" s="103"/>
    </row>
    <row r="584">
      <c r="B584" s="103"/>
    </row>
    <row r="585">
      <c r="B585" s="103"/>
    </row>
    <row r="586">
      <c r="B586" s="103"/>
    </row>
    <row r="587">
      <c r="B587" s="103"/>
    </row>
    <row r="588">
      <c r="B588" s="103"/>
    </row>
    <row r="589">
      <c r="B589" s="103"/>
    </row>
    <row r="590">
      <c r="B590" s="103"/>
    </row>
    <row r="591">
      <c r="B591" s="103"/>
    </row>
    <row r="592">
      <c r="B592" s="103"/>
    </row>
    <row r="593">
      <c r="B593" s="103"/>
    </row>
    <row r="594">
      <c r="B594" s="103"/>
    </row>
    <row r="595">
      <c r="B595" s="103"/>
    </row>
    <row r="596">
      <c r="B596" s="103"/>
    </row>
    <row r="597">
      <c r="B597" s="103"/>
    </row>
    <row r="598">
      <c r="B598" s="103"/>
    </row>
    <row r="599">
      <c r="B599" s="103"/>
    </row>
    <row r="600">
      <c r="B600" s="103"/>
    </row>
    <row r="601">
      <c r="B601" s="103"/>
    </row>
    <row r="602">
      <c r="B602" s="103"/>
    </row>
    <row r="603">
      <c r="B603" s="103"/>
    </row>
    <row r="604">
      <c r="B604" s="103"/>
    </row>
    <row r="605">
      <c r="B605" s="103"/>
    </row>
    <row r="606">
      <c r="B606" s="103"/>
    </row>
    <row r="607">
      <c r="B607" s="103"/>
    </row>
    <row r="608">
      <c r="B608" s="103"/>
    </row>
    <row r="609">
      <c r="B609" s="103"/>
    </row>
    <row r="610">
      <c r="B610" s="103"/>
    </row>
    <row r="611">
      <c r="B611" s="103"/>
    </row>
    <row r="612">
      <c r="B612" s="103"/>
    </row>
    <row r="613">
      <c r="B613" s="103"/>
    </row>
    <row r="614">
      <c r="B614" s="103"/>
    </row>
    <row r="615">
      <c r="B615" s="103"/>
    </row>
    <row r="616">
      <c r="B616" s="103"/>
    </row>
    <row r="617">
      <c r="B617" s="103"/>
    </row>
    <row r="618">
      <c r="B618" s="103"/>
    </row>
    <row r="619">
      <c r="B619" s="103"/>
    </row>
    <row r="620">
      <c r="B620" s="103"/>
    </row>
    <row r="621">
      <c r="B621" s="103"/>
    </row>
    <row r="622">
      <c r="B622" s="103"/>
    </row>
    <row r="623">
      <c r="B623" s="103"/>
    </row>
    <row r="624">
      <c r="B624" s="103"/>
    </row>
    <row r="625">
      <c r="B625" s="103"/>
    </row>
    <row r="626">
      <c r="B626" s="103"/>
    </row>
    <row r="627">
      <c r="B627" s="103"/>
    </row>
    <row r="628">
      <c r="B628" s="103"/>
    </row>
    <row r="629">
      <c r="B629" s="103"/>
    </row>
    <row r="630">
      <c r="B630" s="103"/>
    </row>
    <row r="631">
      <c r="B631" s="103"/>
    </row>
    <row r="632">
      <c r="B632" s="103"/>
    </row>
    <row r="633">
      <c r="B633" s="103"/>
    </row>
    <row r="634">
      <c r="B634" s="103"/>
    </row>
    <row r="635">
      <c r="B635" s="103"/>
    </row>
    <row r="636">
      <c r="B636" s="103"/>
    </row>
    <row r="637">
      <c r="B637" s="103"/>
    </row>
    <row r="638">
      <c r="B638" s="103"/>
    </row>
    <row r="639">
      <c r="B639" s="103"/>
    </row>
    <row r="640">
      <c r="B640" s="103"/>
    </row>
    <row r="641">
      <c r="B641" s="103"/>
    </row>
    <row r="642">
      <c r="B642" s="103"/>
    </row>
    <row r="643">
      <c r="B643" s="103"/>
    </row>
    <row r="644">
      <c r="B644" s="103"/>
    </row>
    <row r="645">
      <c r="B645" s="103"/>
    </row>
    <row r="646">
      <c r="B646" s="103"/>
    </row>
    <row r="647">
      <c r="B647" s="103"/>
    </row>
    <row r="648">
      <c r="B648" s="103"/>
    </row>
    <row r="649">
      <c r="B649" s="103"/>
    </row>
    <row r="650">
      <c r="B650" s="103"/>
    </row>
    <row r="651">
      <c r="B651" s="103"/>
    </row>
    <row r="652">
      <c r="B652" s="103"/>
    </row>
    <row r="653">
      <c r="B653" s="103"/>
    </row>
    <row r="654">
      <c r="B654" s="103"/>
    </row>
    <row r="655">
      <c r="B655" s="103"/>
    </row>
    <row r="656">
      <c r="B656" s="103"/>
    </row>
    <row r="657">
      <c r="B657" s="103"/>
    </row>
    <row r="658">
      <c r="B658" s="103"/>
    </row>
    <row r="659">
      <c r="B659" s="103"/>
    </row>
    <row r="660">
      <c r="B660" s="103"/>
    </row>
    <row r="661">
      <c r="B661" s="103"/>
    </row>
    <row r="662">
      <c r="B662" s="103"/>
    </row>
    <row r="663">
      <c r="B663" s="103"/>
    </row>
    <row r="664">
      <c r="B664" s="103"/>
    </row>
    <row r="665">
      <c r="B665" s="103"/>
    </row>
    <row r="666">
      <c r="B666" s="103"/>
    </row>
    <row r="667">
      <c r="B667" s="103"/>
    </row>
    <row r="668">
      <c r="B668" s="103"/>
    </row>
    <row r="669">
      <c r="B669" s="103"/>
    </row>
    <row r="670">
      <c r="B670" s="103"/>
    </row>
    <row r="671">
      <c r="B671" s="103"/>
    </row>
    <row r="672">
      <c r="B672" s="103"/>
    </row>
    <row r="673">
      <c r="B673" s="103"/>
    </row>
    <row r="674">
      <c r="B674" s="103"/>
    </row>
    <row r="675">
      <c r="B675" s="103"/>
    </row>
    <row r="676">
      <c r="B676" s="103"/>
    </row>
    <row r="677">
      <c r="B677" s="103"/>
    </row>
    <row r="678">
      <c r="B678" s="103"/>
    </row>
    <row r="679">
      <c r="B679" s="103"/>
    </row>
    <row r="680">
      <c r="B680" s="103"/>
    </row>
    <row r="681">
      <c r="B681" s="103"/>
    </row>
    <row r="682">
      <c r="B682" s="103"/>
    </row>
    <row r="683">
      <c r="B683" s="103"/>
    </row>
    <row r="684">
      <c r="B684" s="103"/>
    </row>
    <row r="685">
      <c r="B685" s="103"/>
    </row>
    <row r="686">
      <c r="B686" s="103"/>
    </row>
    <row r="687">
      <c r="B687" s="103"/>
    </row>
    <row r="688">
      <c r="B688" s="103"/>
    </row>
    <row r="689">
      <c r="B689" s="103"/>
    </row>
    <row r="690">
      <c r="B690" s="103"/>
    </row>
    <row r="691">
      <c r="B691" s="103"/>
    </row>
    <row r="692">
      <c r="B692" s="103"/>
    </row>
    <row r="693">
      <c r="B693" s="103"/>
    </row>
    <row r="694">
      <c r="B694" s="103"/>
    </row>
    <row r="695">
      <c r="B695" s="103"/>
    </row>
    <row r="696">
      <c r="B696" s="103"/>
    </row>
    <row r="697">
      <c r="B697" s="103"/>
    </row>
    <row r="698">
      <c r="B698" s="103"/>
    </row>
    <row r="699">
      <c r="B699" s="103"/>
    </row>
    <row r="700">
      <c r="B700" s="103"/>
    </row>
    <row r="701">
      <c r="B701" s="103"/>
    </row>
    <row r="702">
      <c r="B702" s="103"/>
    </row>
    <row r="703">
      <c r="B703" s="103"/>
    </row>
    <row r="704">
      <c r="B704" s="103"/>
    </row>
    <row r="705">
      <c r="B705" s="103"/>
    </row>
    <row r="706">
      <c r="B706" s="103"/>
    </row>
    <row r="707">
      <c r="B707" s="103"/>
    </row>
    <row r="708">
      <c r="B708" s="103"/>
    </row>
    <row r="709">
      <c r="B709" s="103"/>
    </row>
    <row r="710">
      <c r="B710" s="103"/>
    </row>
    <row r="711">
      <c r="B711" s="103"/>
    </row>
    <row r="712">
      <c r="B712" s="103"/>
    </row>
    <row r="713">
      <c r="B713" s="103"/>
    </row>
    <row r="714">
      <c r="B714" s="103"/>
    </row>
    <row r="715">
      <c r="B715" s="103"/>
    </row>
    <row r="716">
      <c r="B716" s="103"/>
    </row>
    <row r="717">
      <c r="B717" s="103"/>
    </row>
    <row r="718">
      <c r="B718" s="103"/>
    </row>
    <row r="719">
      <c r="B719" s="103"/>
    </row>
    <row r="720">
      <c r="B720" s="103"/>
    </row>
    <row r="721">
      <c r="B721" s="103"/>
    </row>
    <row r="722">
      <c r="B722" s="103"/>
    </row>
    <row r="723">
      <c r="B723" s="103"/>
    </row>
    <row r="724">
      <c r="B724" s="103"/>
    </row>
    <row r="725">
      <c r="B725" s="103"/>
    </row>
    <row r="726">
      <c r="B726" s="103"/>
    </row>
    <row r="727">
      <c r="B727" s="103"/>
    </row>
    <row r="728">
      <c r="B728" s="103"/>
    </row>
    <row r="729">
      <c r="B729" s="103"/>
    </row>
    <row r="730">
      <c r="B730" s="103"/>
    </row>
    <row r="731">
      <c r="B731" s="103"/>
    </row>
    <row r="732">
      <c r="B732" s="103"/>
    </row>
    <row r="733">
      <c r="B733" s="103"/>
    </row>
    <row r="734">
      <c r="B734" s="103"/>
    </row>
    <row r="735">
      <c r="B735" s="103"/>
    </row>
    <row r="736">
      <c r="B736" s="103"/>
    </row>
    <row r="737">
      <c r="B737" s="103"/>
    </row>
    <row r="738">
      <c r="B738" s="103"/>
    </row>
    <row r="739">
      <c r="B739" s="103"/>
    </row>
    <row r="740">
      <c r="B740" s="103"/>
    </row>
    <row r="741">
      <c r="B741" s="103"/>
    </row>
    <row r="742">
      <c r="B742" s="103"/>
    </row>
    <row r="743">
      <c r="B743" s="103"/>
    </row>
    <row r="744">
      <c r="B744" s="103"/>
    </row>
    <row r="745">
      <c r="B745" s="103"/>
    </row>
    <row r="746">
      <c r="B746" s="103"/>
    </row>
    <row r="747">
      <c r="B747" s="103"/>
    </row>
    <row r="748">
      <c r="B748" s="103"/>
    </row>
    <row r="749">
      <c r="B749" s="103"/>
    </row>
    <row r="750">
      <c r="B750" s="103"/>
    </row>
    <row r="751">
      <c r="B751" s="103"/>
    </row>
    <row r="752">
      <c r="B752" s="103"/>
    </row>
    <row r="753">
      <c r="B753" s="103"/>
    </row>
    <row r="754">
      <c r="B754" s="103"/>
    </row>
    <row r="755">
      <c r="B755" s="103"/>
    </row>
    <row r="756">
      <c r="B756" s="103"/>
    </row>
    <row r="757">
      <c r="B757" s="103"/>
    </row>
    <row r="758">
      <c r="B758" s="103"/>
    </row>
    <row r="759">
      <c r="B759" s="103"/>
    </row>
    <row r="760">
      <c r="B760" s="103"/>
    </row>
    <row r="761">
      <c r="B761" s="103"/>
    </row>
    <row r="762">
      <c r="B762" s="103"/>
    </row>
    <row r="763">
      <c r="B763" s="103"/>
    </row>
    <row r="764">
      <c r="B764" s="103"/>
    </row>
    <row r="765">
      <c r="B765" s="103"/>
    </row>
    <row r="766">
      <c r="B766" s="103"/>
    </row>
    <row r="767">
      <c r="B767" s="103"/>
    </row>
    <row r="768">
      <c r="B768" s="103"/>
    </row>
    <row r="769">
      <c r="B769" s="103"/>
    </row>
    <row r="770">
      <c r="B770" s="103"/>
    </row>
    <row r="771">
      <c r="B771" s="103"/>
    </row>
    <row r="772">
      <c r="B772" s="103"/>
    </row>
    <row r="773">
      <c r="B773" s="103"/>
    </row>
    <row r="774">
      <c r="B774" s="103"/>
    </row>
    <row r="775">
      <c r="B775" s="103"/>
    </row>
    <row r="776">
      <c r="B776" s="103"/>
    </row>
    <row r="777">
      <c r="B777" s="103"/>
    </row>
    <row r="778">
      <c r="B778" s="103"/>
    </row>
    <row r="779">
      <c r="B779" s="103"/>
    </row>
    <row r="780">
      <c r="B780" s="103"/>
    </row>
    <row r="781">
      <c r="B781" s="103"/>
    </row>
    <row r="782">
      <c r="B782" s="103"/>
    </row>
    <row r="783">
      <c r="B783" s="103"/>
    </row>
    <row r="784">
      <c r="B784" s="103"/>
    </row>
    <row r="785">
      <c r="B785" s="103"/>
    </row>
    <row r="786">
      <c r="B786" s="103"/>
    </row>
    <row r="787">
      <c r="B787" s="103"/>
    </row>
    <row r="788">
      <c r="B788" s="103"/>
    </row>
    <row r="789">
      <c r="B789" s="103"/>
    </row>
    <row r="790">
      <c r="B790" s="103"/>
    </row>
    <row r="791">
      <c r="B791" s="103"/>
    </row>
    <row r="792">
      <c r="B792" s="103"/>
    </row>
    <row r="793">
      <c r="B793" s="103"/>
    </row>
    <row r="794">
      <c r="B794" s="103"/>
    </row>
    <row r="795">
      <c r="B795" s="103"/>
    </row>
    <row r="796">
      <c r="B796" s="103"/>
    </row>
    <row r="797">
      <c r="B797" s="103"/>
    </row>
    <row r="798">
      <c r="B798" s="103"/>
    </row>
    <row r="799">
      <c r="B799" s="103"/>
    </row>
    <row r="800">
      <c r="B800" s="103"/>
    </row>
    <row r="801">
      <c r="B801" s="103"/>
    </row>
    <row r="802">
      <c r="B802" s="103"/>
    </row>
    <row r="803">
      <c r="B803" s="103"/>
    </row>
    <row r="804">
      <c r="B804" s="103"/>
    </row>
    <row r="805">
      <c r="B805" s="103"/>
    </row>
    <row r="806">
      <c r="B806" s="103"/>
    </row>
    <row r="807">
      <c r="B807" s="103"/>
    </row>
    <row r="808">
      <c r="B808" s="103"/>
    </row>
    <row r="809">
      <c r="B809" s="103"/>
    </row>
    <row r="810">
      <c r="B810" s="103"/>
    </row>
    <row r="811">
      <c r="B811" s="103"/>
    </row>
    <row r="812">
      <c r="B812" s="103"/>
    </row>
    <row r="813">
      <c r="B813" s="103"/>
    </row>
    <row r="814">
      <c r="B814" s="103"/>
    </row>
    <row r="815">
      <c r="B815" s="103"/>
    </row>
    <row r="816">
      <c r="B816" s="103"/>
    </row>
    <row r="817">
      <c r="B817" s="103"/>
    </row>
    <row r="818">
      <c r="B818" s="103"/>
    </row>
    <row r="819">
      <c r="B819" s="103"/>
    </row>
    <row r="820">
      <c r="B820" s="103"/>
    </row>
    <row r="821">
      <c r="B821" s="103"/>
    </row>
    <row r="822">
      <c r="B822" s="103"/>
    </row>
    <row r="823">
      <c r="B823" s="103"/>
    </row>
    <row r="824">
      <c r="B824" s="103"/>
    </row>
    <row r="825">
      <c r="B825" s="103"/>
    </row>
    <row r="826">
      <c r="B826" s="103"/>
    </row>
    <row r="827">
      <c r="B827" s="103"/>
    </row>
    <row r="828">
      <c r="B828" s="103"/>
    </row>
    <row r="829">
      <c r="B829" s="103"/>
    </row>
    <row r="830">
      <c r="B830" s="103"/>
    </row>
    <row r="831">
      <c r="B831" s="103"/>
    </row>
    <row r="832">
      <c r="B832" s="103"/>
    </row>
    <row r="833">
      <c r="B833" s="103"/>
    </row>
    <row r="834">
      <c r="B834" s="103"/>
    </row>
    <row r="835">
      <c r="B835" s="103"/>
    </row>
    <row r="836">
      <c r="B836" s="103"/>
    </row>
    <row r="837">
      <c r="B837" s="103"/>
    </row>
    <row r="838">
      <c r="B838" s="103"/>
    </row>
    <row r="839">
      <c r="B839" s="103"/>
    </row>
    <row r="840">
      <c r="B840" s="103"/>
    </row>
    <row r="841">
      <c r="B841" s="103"/>
    </row>
    <row r="842">
      <c r="B842" s="103"/>
    </row>
    <row r="843">
      <c r="B843" s="103"/>
    </row>
    <row r="844">
      <c r="B844" s="103"/>
    </row>
    <row r="845">
      <c r="B845" s="103"/>
    </row>
    <row r="846">
      <c r="B846" s="103"/>
    </row>
    <row r="847">
      <c r="B847" s="103"/>
    </row>
    <row r="848">
      <c r="B848" s="103"/>
    </row>
    <row r="849">
      <c r="B849" s="103"/>
    </row>
    <row r="850">
      <c r="B850" s="103"/>
    </row>
    <row r="851">
      <c r="B851" s="103"/>
    </row>
    <row r="852">
      <c r="B852" s="103"/>
    </row>
    <row r="853">
      <c r="B853" s="103"/>
    </row>
    <row r="854">
      <c r="B854" s="103"/>
    </row>
    <row r="855">
      <c r="B855" s="103"/>
    </row>
    <row r="856">
      <c r="B856" s="103"/>
    </row>
    <row r="857">
      <c r="B857" s="103"/>
    </row>
    <row r="858">
      <c r="B858" s="103"/>
    </row>
    <row r="859">
      <c r="B859" s="103"/>
    </row>
    <row r="860">
      <c r="B860" s="103"/>
    </row>
    <row r="861">
      <c r="B861" s="103"/>
    </row>
    <row r="862">
      <c r="B862" s="103"/>
    </row>
    <row r="863">
      <c r="B863" s="103"/>
    </row>
    <row r="864">
      <c r="B864" s="103"/>
    </row>
    <row r="865">
      <c r="B865" s="103"/>
    </row>
    <row r="866">
      <c r="B866" s="103"/>
    </row>
    <row r="867">
      <c r="B867" s="103"/>
    </row>
    <row r="868">
      <c r="B868" s="103"/>
    </row>
    <row r="869">
      <c r="B869" s="103"/>
    </row>
    <row r="870">
      <c r="B870" s="103"/>
    </row>
    <row r="871">
      <c r="B871" s="103"/>
    </row>
    <row r="872">
      <c r="B872" s="103"/>
    </row>
    <row r="873">
      <c r="B873" s="103"/>
    </row>
    <row r="874">
      <c r="B874" s="103"/>
    </row>
    <row r="875">
      <c r="B875" s="103"/>
    </row>
    <row r="876">
      <c r="B876" s="103"/>
    </row>
    <row r="877">
      <c r="B877" s="103"/>
    </row>
    <row r="878">
      <c r="B878" s="103"/>
    </row>
    <row r="879">
      <c r="B879" s="103"/>
    </row>
    <row r="880">
      <c r="B880" s="103"/>
    </row>
    <row r="881">
      <c r="B881" s="103"/>
    </row>
    <row r="882">
      <c r="B882" s="103"/>
    </row>
    <row r="883">
      <c r="B883" s="103"/>
    </row>
    <row r="884">
      <c r="B884" s="103"/>
    </row>
    <row r="885">
      <c r="B885" s="103"/>
    </row>
    <row r="886">
      <c r="B886" s="103"/>
    </row>
    <row r="887">
      <c r="B887" s="103"/>
    </row>
    <row r="888">
      <c r="B888" s="103"/>
    </row>
    <row r="889">
      <c r="B889" s="103"/>
    </row>
    <row r="890">
      <c r="B890" s="103"/>
    </row>
    <row r="891">
      <c r="B891" s="103"/>
    </row>
    <row r="892">
      <c r="B892" s="103"/>
    </row>
    <row r="893">
      <c r="B893" s="103"/>
    </row>
    <row r="894">
      <c r="B894" s="103"/>
    </row>
    <row r="895">
      <c r="B895" s="103"/>
    </row>
    <row r="896">
      <c r="B896" s="103"/>
    </row>
    <row r="897">
      <c r="B897" s="103"/>
    </row>
    <row r="898">
      <c r="B898" s="103"/>
    </row>
    <row r="899">
      <c r="B899" s="103"/>
    </row>
    <row r="900">
      <c r="B900" s="103"/>
    </row>
    <row r="901">
      <c r="B901" s="103"/>
    </row>
    <row r="902">
      <c r="B902" s="103"/>
    </row>
    <row r="903">
      <c r="B903" s="103"/>
    </row>
    <row r="904">
      <c r="B904" s="103"/>
    </row>
    <row r="905">
      <c r="B905" s="103"/>
    </row>
    <row r="906">
      <c r="B906" s="103"/>
    </row>
    <row r="907">
      <c r="B907" s="103"/>
    </row>
    <row r="908">
      <c r="B908" s="103"/>
    </row>
    <row r="909">
      <c r="B909" s="103"/>
    </row>
    <row r="910">
      <c r="B910" s="103"/>
    </row>
    <row r="911">
      <c r="B911" s="103"/>
    </row>
    <row r="912">
      <c r="B912" s="103"/>
    </row>
    <row r="913">
      <c r="B913" s="103"/>
    </row>
    <row r="914">
      <c r="B914" s="103"/>
    </row>
    <row r="915">
      <c r="B915" s="103"/>
    </row>
    <row r="916">
      <c r="B916" s="103"/>
    </row>
    <row r="917">
      <c r="B917" s="103"/>
    </row>
    <row r="918">
      <c r="B918" s="103"/>
    </row>
    <row r="919">
      <c r="B919" s="103"/>
    </row>
    <row r="920">
      <c r="B920" s="103"/>
    </row>
    <row r="921">
      <c r="B921" s="103"/>
    </row>
    <row r="922">
      <c r="B922" s="103"/>
    </row>
    <row r="923">
      <c r="B923" s="103"/>
    </row>
    <row r="924">
      <c r="B924" s="103"/>
    </row>
    <row r="925">
      <c r="B925" s="103"/>
    </row>
    <row r="926">
      <c r="B926" s="103"/>
    </row>
    <row r="927">
      <c r="B927" s="103"/>
    </row>
    <row r="928">
      <c r="B928" s="103"/>
    </row>
    <row r="929">
      <c r="B929" s="103"/>
    </row>
    <row r="930">
      <c r="B930" s="103"/>
    </row>
    <row r="931">
      <c r="B931" s="103"/>
    </row>
    <row r="932">
      <c r="B932" s="103"/>
    </row>
    <row r="933">
      <c r="B933" s="103"/>
    </row>
    <row r="934">
      <c r="B934" s="103"/>
    </row>
    <row r="935">
      <c r="B935" s="103"/>
    </row>
    <row r="936">
      <c r="B936" s="103"/>
    </row>
    <row r="937">
      <c r="B937" s="103"/>
    </row>
    <row r="938">
      <c r="B938" s="103"/>
    </row>
    <row r="939">
      <c r="B939" s="103"/>
    </row>
    <row r="940">
      <c r="B940" s="103"/>
    </row>
    <row r="941">
      <c r="B941" s="103"/>
    </row>
    <row r="942">
      <c r="B942" s="103"/>
    </row>
    <row r="943">
      <c r="B943" s="103"/>
    </row>
    <row r="944">
      <c r="B944" s="103"/>
    </row>
    <row r="945">
      <c r="B945" s="103"/>
    </row>
    <row r="946">
      <c r="B946" s="103"/>
    </row>
    <row r="947">
      <c r="B947" s="103"/>
    </row>
    <row r="948">
      <c r="B948" s="103"/>
    </row>
    <row r="949">
      <c r="B949" s="103"/>
    </row>
    <row r="950">
      <c r="B950" s="103"/>
    </row>
    <row r="951">
      <c r="B951" s="103"/>
    </row>
    <row r="952">
      <c r="B952" s="103"/>
    </row>
    <row r="953">
      <c r="B953" s="103"/>
    </row>
    <row r="954">
      <c r="B954" s="103"/>
    </row>
    <row r="955">
      <c r="B955" s="103"/>
    </row>
    <row r="956">
      <c r="B956" s="103"/>
    </row>
    <row r="957">
      <c r="B957" s="103"/>
    </row>
    <row r="958">
      <c r="B958" s="103"/>
    </row>
    <row r="959">
      <c r="B959" s="103"/>
    </row>
    <row r="960">
      <c r="B960" s="103"/>
    </row>
    <row r="961">
      <c r="B961" s="103"/>
    </row>
    <row r="962">
      <c r="B962" s="103"/>
    </row>
    <row r="963">
      <c r="B963" s="103"/>
    </row>
    <row r="964">
      <c r="B964" s="103"/>
    </row>
    <row r="965">
      <c r="B965" s="103"/>
    </row>
    <row r="966">
      <c r="B966" s="103"/>
    </row>
    <row r="967">
      <c r="B967" s="103"/>
    </row>
    <row r="968">
      <c r="B968" s="103"/>
    </row>
    <row r="969">
      <c r="B969" s="103"/>
    </row>
    <row r="970">
      <c r="B970" s="103"/>
    </row>
    <row r="971">
      <c r="B971" s="103"/>
    </row>
    <row r="972">
      <c r="B972" s="103"/>
    </row>
    <row r="973">
      <c r="B973" s="103"/>
    </row>
    <row r="974">
      <c r="B974" s="103"/>
    </row>
    <row r="975">
      <c r="B975" s="103"/>
    </row>
    <row r="976">
      <c r="B976" s="103"/>
    </row>
    <row r="977">
      <c r="B977" s="103"/>
    </row>
    <row r="978">
      <c r="B978" s="103"/>
    </row>
    <row r="979">
      <c r="B979" s="103"/>
    </row>
    <row r="980">
      <c r="B980" s="103"/>
    </row>
    <row r="981">
      <c r="B981" s="103"/>
    </row>
    <row r="982">
      <c r="B982" s="103"/>
    </row>
    <row r="983">
      <c r="B983" s="103"/>
    </row>
    <row r="984">
      <c r="B984" s="103"/>
    </row>
    <row r="985">
      <c r="B985" s="103"/>
    </row>
    <row r="986">
      <c r="B986" s="103"/>
    </row>
    <row r="987">
      <c r="B987" s="103"/>
    </row>
    <row r="988">
      <c r="B988" s="103"/>
    </row>
    <row r="989">
      <c r="B989" s="103"/>
    </row>
    <row r="990">
      <c r="B990" s="103"/>
    </row>
    <row r="991">
      <c r="B991" s="103"/>
    </row>
    <row r="992">
      <c r="B992" s="103"/>
    </row>
    <row r="993">
      <c r="B993" s="103"/>
    </row>
    <row r="994">
      <c r="B994" s="103"/>
    </row>
    <row r="995">
      <c r="B995" s="103"/>
    </row>
    <row r="996">
      <c r="B996" s="103"/>
    </row>
    <row r="997">
      <c r="B997" s="103"/>
    </row>
    <row r="998">
      <c r="B998" s="103"/>
    </row>
    <row r="999">
      <c r="B999" s="103"/>
    </row>
    <row r="1000">
      <c r="B1000" s="103"/>
    </row>
    <row r="1001">
      <c r="B1001" s="103"/>
    </row>
    <row r="1002">
      <c r="B1002" s="103"/>
    </row>
    <row r="1003">
      <c r="B1003" s="103"/>
    </row>
    <row r="1004">
      <c r="B1004" s="103"/>
    </row>
    <row r="1005">
      <c r="B1005" s="103"/>
    </row>
    <row r="1006">
      <c r="B1006" s="103"/>
    </row>
    <row r="1007">
      <c r="B1007" s="103"/>
    </row>
    <row r="1008">
      <c r="B1008" s="103"/>
    </row>
    <row r="1009">
      <c r="B1009" s="103"/>
    </row>
    <row r="1010">
      <c r="B1010" s="103"/>
    </row>
    <row r="1011">
      <c r="B1011" s="103"/>
    </row>
    <row r="1012">
      <c r="B1012" s="103"/>
    </row>
    <row r="1013">
      <c r="B1013" s="103"/>
    </row>
    <row r="1014">
      <c r="B1014" s="103"/>
    </row>
    <row r="1015">
      <c r="B1015" s="103"/>
    </row>
    <row r="1016">
      <c r="B1016" s="103"/>
    </row>
    <row r="1017">
      <c r="B1017" s="103"/>
    </row>
    <row r="1018">
      <c r="B1018" s="103"/>
    </row>
    <row r="1019">
      <c r="B1019" s="103"/>
    </row>
    <row r="1020">
      <c r="B1020" s="103"/>
    </row>
    <row r="1021">
      <c r="B1021" s="103"/>
    </row>
    <row r="1022">
      <c r="B1022" s="103"/>
    </row>
    <row r="1023">
      <c r="B1023" s="103"/>
    </row>
    <row r="1024">
      <c r="B1024" s="103"/>
    </row>
    <row r="1025">
      <c r="B1025" s="103"/>
    </row>
    <row r="1026">
      <c r="B1026" s="103"/>
    </row>
    <row r="1027">
      <c r="B1027" s="103"/>
    </row>
    <row r="1028">
      <c r="B1028" s="103"/>
    </row>
    <row r="1029">
      <c r="B1029" s="103"/>
    </row>
    <row r="1030">
      <c r="B1030" s="103"/>
    </row>
    <row r="1031">
      <c r="B1031" s="103"/>
    </row>
    <row r="1032">
      <c r="B1032" s="103"/>
    </row>
    <row r="1033">
      <c r="B1033" s="103"/>
    </row>
    <row r="1034">
      <c r="B1034" s="103"/>
    </row>
    <row r="1035">
      <c r="B1035" s="103"/>
    </row>
    <row r="1036">
      <c r="B1036" s="103"/>
    </row>
    <row r="1037">
      <c r="B1037" s="103"/>
    </row>
    <row r="1038">
      <c r="B1038" s="103"/>
    </row>
    <row r="1039">
      <c r="B1039" s="103"/>
    </row>
    <row r="1040">
      <c r="B1040" s="103"/>
    </row>
    <row r="1041">
      <c r="B1041" s="103"/>
    </row>
    <row r="1042">
      <c r="B1042" s="103"/>
    </row>
    <row r="1043">
      <c r="B1043" s="103"/>
    </row>
    <row r="1044">
      <c r="B1044" s="103"/>
    </row>
    <row r="1045">
      <c r="B1045" s="103"/>
    </row>
    <row r="1046">
      <c r="B1046" s="103"/>
    </row>
    <row r="1047">
      <c r="B1047" s="103"/>
    </row>
    <row r="1048">
      <c r="B1048" s="103"/>
    </row>
    <row r="1049">
      <c r="B1049" s="103"/>
    </row>
    <row r="1050">
      <c r="B1050" s="103"/>
    </row>
    <row r="1051">
      <c r="B1051" s="103"/>
    </row>
    <row r="1052">
      <c r="B1052" s="103"/>
    </row>
    <row r="1053">
      <c r="B1053" s="103"/>
    </row>
    <row r="1054">
      <c r="B1054" s="103"/>
    </row>
    <row r="1055">
      <c r="B1055" s="103"/>
    </row>
    <row r="1056">
      <c r="B1056" s="103"/>
    </row>
    <row r="1057">
      <c r="B1057" s="103"/>
    </row>
    <row r="1058">
      <c r="B1058" s="103"/>
    </row>
    <row r="1059">
      <c r="B1059" s="103"/>
    </row>
    <row r="1060">
      <c r="B1060" s="103"/>
    </row>
    <row r="1061">
      <c r="B1061" s="103"/>
    </row>
    <row r="1062">
      <c r="B1062" s="103"/>
    </row>
    <row r="1063">
      <c r="B1063" s="103"/>
    </row>
    <row r="1064">
      <c r="B1064" s="103"/>
    </row>
    <row r="1065">
      <c r="B1065" s="103"/>
    </row>
    <row r="1066">
      <c r="B1066" s="103"/>
    </row>
    <row r="1067">
      <c r="B1067" s="103"/>
    </row>
    <row r="1068">
      <c r="B1068" s="103"/>
    </row>
    <row r="1069">
      <c r="B1069" s="103"/>
    </row>
    <row r="1070">
      <c r="B1070" s="103"/>
    </row>
    <row r="1071">
      <c r="B1071" s="103"/>
    </row>
    <row r="1072">
      <c r="B1072" s="103"/>
    </row>
    <row r="1073">
      <c r="B1073" s="103"/>
    </row>
    <row r="1074">
      <c r="B1074" s="103"/>
    </row>
    <row r="1075">
      <c r="B1075" s="103"/>
    </row>
    <row r="1076">
      <c r="B1076" s="103"/>
    </row>
    <row r="1077">
      <c r="B1077" s="103"/>
    </row>
    <row r="1078">
      <c r="B1078" s="103"/>
    </row>
    <row r="1079">
      <c r="B1079" s="103"/>
    </row>
    <row r="1080">
      <c r="B1080" s="103"/>
    </row>
    <row r="1081">
      <c r="B1081" s="103"/>
    </row>
    <row r="1082">
      <c r="B1082" s="103"/>
    </row>
    <row r="1083">
      <c r="B1083" s="103"/>
    </row>
    <row r="1084">
      <c r="B1084" s="103"/>
    </row>
    <row r="1085">
      <c r="B1085" s="103"/>
    </row>
    <row r="1086">
      <c r="B1086" s="103"/>
    </row>
    <row r="1087">
      <c r="B1087" s="103"/>
    </row>
    <row r="1088">
      <c r="B1088" s="103"/>
    </row>
    <row r="1089">
      <c r="B1089" s="103"/>
    </row>
    <row r="1090">
      <c r="B1090" s="103"/>
    </row>
    <row r="1091">
      <c r="B1091" s="103"/>
    </row>
    <row r="1092">
      <c r="B1092" s="103"/>
    </row>
    <row r="1093">
      <c r="B1093" s="103"/>
    </row>
    <row r="1094">
      <c r="B1094" s="103"/>
    </row>
    <row r="1095">
      <c r="B1095" s="103"/>
    </row>
    <row r="1096">
      <c r="B1096" s="103"/>
    </row>
    <row r="1097">
      <c r="B1097" s="103"/>
    </row>
    <row r="1098">
      <c r="B1098" s="103"/>
    </row>
    <row r="1099">
      <c r="B1099" s="103"/>
    </row>
    <row r="1100">
      <c r="B1100" s="103"/>
    </row>
    <row r="1101">
      <c r="B1101" s="103"/>
    </row>
    <row r="1102">
      <c r="B1102" s="103"/>
    </row>
    <row r="1103">
      <c r="B1103" s="103"/>
    </row>
    <row r="1104">
      <c r="B1104" s="103"/>
    </row>
    <row r="1105">
      <c r="B1105" s="103"/>
    </row>
    <row r="1106">
      <c r="B1106" s="103"/>
    </row>
    <row r="1107">
      <c r="B1107" s="103"/>
    </row>
    <row r="1108">
      <c r="B1108" s="103"/>
    </row>
    <row r="1109">
      <c r="B1109" s="103"/>
    </row>
    <row r="1110">
      <c r="B1110" s="103"/>
    </row>
    <row r="1111">
      <c r="B1111" s="103"/>
    </row>
    <row r="1112">
      <c r="B1112" s="103"/>
    </row>
    <row r="1113">
      <c r="B1113" s="103"/>
    </row>
    <row r="1114">
      <c r="B1114" s="103"/>
    </row>
    <row r="1115">
      <c r="B1115" s="103"/>
    </row>
    <row r="1116">
      <c r="B1116" s="103"/>
    </row>
    <row r="1117">
      <c r="B1117" s="103"/>
    </row>
    <row r="1118">
      <c r="B1118" s="103"/>
    </row>
    <row r="1119">
      <c r="B1119" s="103"/>
    </row>
    <row r="1120">
      <c r="B1120" s="103"/>
    </row>
    <row r="1121">
      <c r="B1121" s="103"/>
    </row>
    <row r="1122">
      <c r="B1122" s="103"/>
    </row>
    <row r="1123">
      <c r="B1123" s="103"/>
    </row>
    <row r="1124">
      <c r="B1124" s="103"/>
    </row>
    <row r="1125">
      <c r="B1125" s="103"/>
    </row>
    <row r="1126">
      <c r="B1126" s="103"/>
    </row>
    <row r="1127">
      <c r="B1127" s="103"/>
    </row>
    <row r="1128">
      <c r="B1128" s="103"/>
    </row>
    <row r="1129">
      <c r="B1129" s="103"/>
    </row>
    <row r="1130">
      <c r="B1130" s="103"/>
    </row>
    <row r="1131">
      <c r="B1131" s="103"/>
    </row>
    <row r="1132">
      <c r="B1132" s="103"/>
    </row>
    <row r="1133">
      <c r="B1133" s="103"/>
    </row>
    <row r="1134">
      <c r="B1134" s="103"/>
    </row>
    <row r="1135">
      <c r="B1135" s="103"/>
    </row>
    <row r="1136">
      <c r="B1136" s="103"/>
    </row>
    <row r="1137">
      <c r="B1137" s="103"/>
    </row>
    <row r="1138">
      <c r="B1138" s="103"/>
    </row>
    <row r="1139">
      <c r="B1139" s="103"/>
    </row>
    <row r="1140">
      <c r="B1140" s="103"/>
    </row>
    <row r="1141">
      <c r="B1141" s="103"/>
    </row>
    <row r="1142">
      <c r="B1142" s="103"/>
    </row>
    <row r="1143">
      <c r="B1143" s="103"/>
    </row>
    <row r="1144">
      <c r="B1144" s="103"/>
    </row>
    <row r="1145">
      <c r="B1145" s="103"/>
    </row>
    <row r="1146">
      <c r="B1146" s="103"/>
    </row>
    <row r="1147">
      <c r="B1147" s="103"/>
    </row>
    <row r="1148">
      <c r="B1148" s="103"/>
    </row>
    <row r="1149">
      <c r="B1149" s="103"/>
    </row>
    <row r="1150">
      <c r="B1150" s="103"/>
    </row>
    <row r="1151">
      <c r="B1151" s="103"/>
    </row>
    <row r="1152">
      <c r="B1152" s="103"/>
    </row>
    <row r="1153">
      <c r="B1153" s="103"/>
    </row>
  </sheetData>
  <autoFilter ref="$A$2:$X$155"/>
  <mergeCells count="1">
    <mergeCell ref="D1:E1"/>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9.88"/>
    <col customWidth="1" min="3" max="3" width="14.0"/>
    <col customWidth="1" min="4" max="4" width="18.38"/>
    <col customWidth="1" min="5" max="5" width="8.38"/>
    <col customWidth="1" min="6" max="6" width="19.38"/>
    <col customWidth="1" min="7" max="7" width="9.75"/>
    <col customWidth="1" min="8" max="8" width="33.75"/>
    <col customWidth="1" min="9" max="12" width="8.75"/>
  </cols>
  <sheetData>
    <row r="1" ht="12.75" customHeight="1"/>
    <row r="2" ht="12.75" customHeight="1">
      <c r="B2" s="22" t="s">
        <v>373</v>
      </c>
      <c r="C2" s="22" t="s">
        <v>374</v>
      </c>
      <c r="D2" s="22" t="s">
        <v>375</v>
      </c>
      <c r="E2" s="22" t="s">
        <v>376</v>
      </c>
      <c r="F2" s="22" t="s">
        <v>377</v>
      </c>
      <c r="G2" s="22" t="s">
        <v>378</v>
      </c>
      <c r="H2" s="22" t="s">
        <v>379</v>
      </c>
      <c r="I2" s="16"/>
      <c r="J2" s="16"/>
    </row>
    <row r="3" ht="12.75" customHeight="1">
      <c r="B3" s="16" t="s">
        <v>380</v>
      </c>
      <c r="C3" s="16" t="s">
        <v>381</v>
      </c>
      <c r="D3" s="16">
        <v>515643.0</v>
      </c>
      <c r="E3" s="16" t="s">
        <v>382</v>
      </c>
      <c r="F3" s="16" t="s">
        <v>383</v>
      </c>
      <c r="G3" s="16" t="s">
        <v>384</v>
      </c>
      <c r="H3" s="16" t="s">
        <v>385</v>
      </c>
      <c r="I3" s="16"/>
      <c r="J3" s="16"/>
    </row>
    <row r="4" ht="12.75" customHeight="1">
      <c r="B4" s="16" t="s">
        <v>380</v>
      </c>
      <c r="C4" s="22" t="s">
        <v>74</v>
      </c>
      <c r="D4" s="16">
        <v>128911.0</v>
      </c>
      <c r="E4" s="16" t="s">
        <v>382</v>
      </c>
      <c r="F4" s="16" t="s">
        <v>386</v>
      </c>
      <c r="G4" s="16" t="s">
        <v>387</v>
      </c>
      <c r="H4" s="16" t="s">
        <v>388</v>
      </c>
      <c r="I4" s="16"/>
      <c r="J4" s="16"/>
    </row>
    <row r="5" ht="12.75" customHeight="1">
      <c r="B5" s="16" t="s">
        <v>380</v>
      </c>
      <c r="C5" s="22" t="s">
        <v>389</v>
      </c>
      <c r="D5" s="16">
        <v>128911.0</v>
      </c>
      <c r="E5" s="16" t="s">
        <v>382</v>
      </c>
      <c r="F5" s="16" t="s">
        <v>390</v>
      </c>
      <c r="G5" s="16" t="s">
        <v>387</v>
      </c>
      <c r="H5" s="16" t="s">
        <v>391</v>
      </c>
      <c r="I5" s="16"/>
      <c r="J5" s="16"/>
    </row>
    <row r="6" ht="12.75" customHeight="1">
      <c r="B6" s="16" t="s">
        <v>380</v>
      </c>
      <c r="C6" s="22" t="s">
        <v>392</v>
      </c>
      <c r="D6" s="16">
        <v>128911.0</v>
      </c>
      <c r="E6" s="16" t="s">
        <v>382</v>
      </c>
      <c r="F6" s="16" t="s">
        <v>393</v>
      </c>
      <c r="G6" s="16" t="s">
        <v>384</v>
      </c>
      <c r="H6" s="16" t="s">
        <v>394</v>
      </c>
      <c r="I6" s="16"/>
      <c r="J6" s="16"/>
    </row>
    <row r="7" ht="12.75" customHeight="1">
      <c r="B7" s="16" t="s">
        <v>380</v>
      </c>
      <c r="C7" s="16" t="s">
        <v>395</v>
      </c>
      <c r="D7" s="16">
        <v>128911.0</v>
      </c>
      <c r="E7" s="16" t="s">
        <v>382</v>
      </c>
      <c r="F7" s="16" t="s">
        <v>396</v>
      </c>
      <c r="G7" s="16" t="s">
        <v>397</v>
      </c>
      <c r="H7" s="16" t="s">
        <v>398</v>
      </c>
      <c r="I7" s="16"/>
      <c r="J7" s="16"/>
    </row>
    <row r="8" ht="12.75" customHeight="1">
      <c r="B8" s="16" t="s">
        <v>380</v>
      </c>
      <c r="C8" s="16" t="s">
        <v>399</v>
      </c>
      <c r="D8" s="16">
        <v>85940.0</v>
      </c>
      <c r="E8" s="16" t="s">
        <v>400</v>
      </c>
      <c r="F8" s="16" t="s">
        <v>401</v>
      </c>
      <c r="G8" s="16" t="s">
        <v>402</v>
      </c>
      <c r="H8" s="16" t="s">
        <v>403</v>
      </c>
      <c r="I8" s="16"/>
      <c r="J8" s="16"/>
    </row>
    <row r="9" ht="12.75" customHeight="1">
      <c r="B9" s="16" t="s">
        <v>380</v>
      </c>
      <c r="C9" s="16" t="s">
        <v>404</v>
      </c>
      <c r="D9" s="16">
        <v>85940.0</v>
      </c>
      <c r="E9" s="16" t="s">
        <v>382</v>
      </c>
      <c r="F9" s="16" t="s">
        <v>405</v>
      </c>
      <c r="G9" s="16" t="s">
        <v>406</v>
      </c>
      <c r="H9" s="16" t="s">
        <v>407</v>
      </c>
      <c r="I9" s="16"/>
      <c r="J9" s="16"/>
    </row>
    <row r="10" ht="12.75" customHeight="1">
      <c r="B10" s="16"/>
      <c r="C10" s="16"/>
      <c r="D10" s="16"/>
      <c r="E10" s="16"/>
      <c r="F10" s="16"/>
      <c r="G10" s="16"/>
      <c r="H10" s="16"/>
      <c r="I10" s="16"/>
      <c r="J10" s="16"/>
    </row>
    <row r="11" ht="12.75" customHeight="1">
      <c r="B11" s="16" t="s">
        <v>408</v>
      </c>
      <c r="C11" s="16" t="s">
        <v>409</v>
      </c>
      <c r="D11" s="16">
        <v>85940.0</v>
      </c>
      <c r="E11" s="16" t="s">
        <v>382</v>
      </c>
      <c r="F11" s="16" t="s">
        <v>410</v>
      </c>
      <c r="G11" s="16" t="s">
        <v>384</v>
      </c>
      <c r="H11" s="16" t="s">
        <v>411</v>
      </c>
      <c r="I11" s="16"/>
      <c r="J11" s="16"/>
    </row>
    <row r="12" ht="12.75" customHeight="1"/>
    <row r="13" ht="12.75" customHeight="1">
      <c r="B13" s="16" t="s">
        <v>412</v>
      </c>
      <c r="C13" s="16" t="s">
        <v>54</v>
      </c>
      <c r="D13" s="16">
        <v>53756.0</v>
      </c>
      <c r="E13" s="16" t="s">
        <v>382</v>
      </c>
      <c r="F13" s="16" t="s">
        <v>413</v>
      </c>
      <c r="G13" s="16" t="s">
        <v>384</v>
      </c>
      <c r="H13" s="16" t="s">
        <v>414</v>
      </c>
      <c r="I13" s="16"/>
      <c r="J13" s="16"/>
    </row>
    <row r="14" ht="12.75" customHeight="1">
      <c r="B14" s="16" t="s">
        <v>412</v>
      </c>
      <c r="C14" s="16" t="s">
        <v>82</v>
      </c>
      <c r="D14" s="16">
        <v>36554.0</v>
      </c>
      <c r="E14" s="16" t="s">
        <v>382</v>
      </c>
      <c r="F14" s="16" t="s">
        <v>413</v>
      </c>
      <c r="G14" s="16" t="s">
        <v>384</v>
      </c>
      <c r="H14" s="16" t="s">
        <v>414</v>
      </c>
      <c r="I14" s="16"/>
      <c r="J14" s="16"/>
    </row>
    <row r="15" ht="12.75" customHeight="1">
      <c r="B15" s="16" t="s">
        <v>412</v>
      </c>
      <c r="C15" s="16" t="s">
        <v>63</v>
      </c>
      <c r="D15" s="16">
        <v>37414.0</v>
      </c>
      <c r="E15" s="16" t="s">
        <v>382</v>
      </c>
      <c r="F15" s="16" t="s">
        <v>401</v>
      </c>
      <c r="G15" s="16" t="s">
        <v>384</v>
      </c>
      <c r="H15" s="16" t="s">
        <v>415</v>
      </c>
      <c r="I15" s="16"/>
      <c r="J15" s="16"/>
    </row>
    <row r="16" ht="12.75" customHeight="1">
      <c r="B16" s="16" t="s">
        <v>412</v>
      </c>
      <c r="C16" s="16" t="s">
        <v>60</v>
      </c>
      <c r="D16" s="16">
        <v>47305.0</v>
      </c>
      <c r="E16" s="16" t="s">
        <v>382</v>
      </c>
      <c r="F16" s="16" t="s">
        <v>401</v>
      </c>
      <c r="G16" s="16" t="s">
        <v>384</v>
      </c>
      <c r="H16" s="16" t="s">
        <v>416</v>
      </c>
      <c r="I16" s="16"/>
      <c r="J16" s="16"/>
    </row>
    <row r="17" ht="12.75" customHeight="1">
      <c r="B17" s="16" t="s">
        <v>412</v>
      </c>
      <c r="C17" s="16" t="s">
        <v>78</v>
      </c>
      <c r="D17" s="16">
        <v>16986.0</v>
      </c>
      <c r="E17" s="16" t="s">
        <v>382</v>
      </c>
      <c r="F17" s="16" t="s">
        <v>401</v>
      </c>
      <c r="G17" s="16" t="s">
        <v>384</v>
      </c>
      <c r="H17" s="16" t="s">
        <v>417</v>
      </c>
      <c r="I17" s="16"/>
      <c r="J17" s="16"/>
    </row>
    <row r="18" ht="12.75" customHeight="1">
      <c r="B18" s="16" t="s">
        <v>412</v>
      </c>
      <c r="C18" s="16" t="s">
        <v>46</v>
      </c>
      <c r="D18" s="16">
        <v>18921.0</v>
      </c>
      <c r="E18" s="16" t="s">
        <v>382</v>
      </c>
      <c r="F18" s="16" t="s">
        <v>383</v>
      </c>
      <c r="G18" s="16" t="s">
        <v>384</v>
      </c>
      <c r="H18" s="16" t="s">
        <v>418</v>
      </c>
      <c r="I18" s="16"/>
      <c r="J18" s="16"/>
    </row>
    <row r="19" ht="12.75" customHeight="1">
      <c r="B19" s="16" t="s">
        <v>412</v>
      </c>
      <c r="C19" s="16" t="s">
        <v>44</v>
      </c>
      <c r="D19" s="16">
        <v>15481.0</v>
      </c>
      <c r="E19" s="16" t="s">
        <v>382</v>
      </c>
      <c r="F19" s="16" t="s">
        <v>383</v>
      </c>
      <c r="G19" s="16" t="s">
        <v>384</v>
      </c>
      <c r="H19" s="16" t="s">
        <v>419</v>
      </c>
      <c r="I19" s="16"/>
      <c r="J19" s="16"/>
    </row>
    <row r="20" ht="12.75" customHeight="1">
      <c r="B20" s="16" t="s">
        <v>412</v>
      </c>
      <c r="C20" s="16" t="s">
        <v>45</v>
      </c>
      <c r="D20" s="16">
        <v>18921.0</v>
      </c>
      <c r="E20" s="16" t="s">
        <v>382</v>
      </c>
      <c r="F20" s="16" t="s">
        <v>413</v>
      </c>
      <c r="G20" s="16" t="s">
        <v>384</v>
      </c>
      <c r="H20" s="16" t="s">
        <v>420</v>
      </c>
      <c r="I20" s="16"/>
      <c r="J20" s="16"/>
    </row>
    <row r="21" ht="12.75" customHeight="1">
      <c r="B21" s="16" t="s">
        <v>412</v>
      </c>
      <c r="C21" s="16" t="s">
        <v>58</v>
      </c>
      <c r="D21" s="16">
        <v>12471.0</v>
      </c>
      <c r="E21" s="16" t="s">
        <v>382</v>
      </c>
      <c r="F21" s="16" t="s">
        <v>401</v>
      </c>
      <c r="G21" s="16" t="s">
        <v>384</v>
      </c>
      <c r="H21" s="16" t="s">
        <v>421</v>
      </c>
      <c r="I21" s="16"/>
      <c r="J21" s="16"/>
    </row>
    <row r="22" ht="12.75" customHeight="1"/>
    <row r="23" ht="12.75" customHeight="1">
      <c r="B23" s="16" t="s">
        <v>408</v>
      </c>
      <c r="C23" s="16" t="s">
        <v>2</v>
      </c>
      <c r="D23" s="16">
        <v>42970.0</v>
      </c>
      <c r="E23" s="16" t="s">
        <v>382</v>
      </c>
      <c r="F23" s="16" t="s">
        <v>422</v>
      </c>
      <c r="G23" s="16" t="s">
        <v>387</v>
      </c>
      <c r="H23" s="16" t="s">
        <v>423</v>
      </c>
      <c r="I23" s="16"/>
      <c r="J23" s="16"/>
    </row>
    <row r="24" ht="12.75" customHeight="1">
      <c r="B24" s="16" t="s">
        <v>408</v>
      </c>
      <c r="C24" s="16" t="s">
        <v>424</v>
      </c>
      <c r="D24" s="16">
        <v>25782.0</v>
      </c>
      <c r="E24" s="16" t="s">
        <v>382</v>
      </c>
      <c r="F24" s="16" t="s">
        <v>425</v>
      </c>
      <c r="G24" s="16" t="s">
        <v>387</v>
      </c>
      <c r="H24" s="16" t="s">
        <v>426</v>
      </c>
      <c r="I24" s="16"/>
      <c r="J24" s="16"/>
    </row>
    <row r="25" ht="12.75" customHeight="1">
      <c r="B25" s="16" t="s">
        <v>408</v>
      </c>
      <c r="C25" s="16" t="s">
        <v>427</v>
      </c>
      <c r="D25" s="16">
        <v>17188.0</v>
      </c>
      <c r="E25" s="16" t="s">
        <v>382</v>
      </c>
      <c r="F25" s="16" t="s">
        <v>425</v>
      </c>
      <c r="G25" s="16" t="s">
        <v>387</v>
      </c>
      <c r="H25" s="16" t="s">
        <v>426</v>
      </c>
      <c r="I25" s="16"/>
      <c r="J25" s="16"/>
    </row>
    <row r="26" ht="12.75" customHeight="1"/>
    <row r="27" ht="12.75" customHeight="1">
      <c r="B27" s="16" t="s">
        <v>428</v>
      </c>
      <c r="C27" s="16" t="s">
        <v>429</v>
      </c>
      <c r="D27" s="16">
        <v>85940.0</v>
      </c>
      <c r="E27" s="16" t="s">
        <v>430</v>
      </c>
      <c r="F27" s="16" t="s">
        <v>428</v>
      </c>
      <c r="G27" s="16" t="s">
        <v>397</v>
      </c>
      <c r="H27" s="16" t="s">
        <v>431</v>
      </c>
      <c r="I27" s="16"/>
      <c r="J27" s="16"/>
    </row>
    <row r="28" ht="12.75" customHeight="1"/>
    <row r="29" ht="12.75" customHeight="1"/>
    <row r="30" ht="12.75" customHeight="1"/>
    <row r="31" ht="12.75" customHeight="1">
      <c r="B31" s="166" t="s">
        <v>432</v>
      </c>
      <c r="C31" s="22" t="s">
        <v>433</v>
      </c>
      <c r="D31" s="16">
        <v>28000.0</v>
      </c>
      <c r="E31" s="16" t="s">
        <v>400</v>
      </c>
      <c r="F31" s="16" t="s">
        <v>434</v>
      </c>
      <c r="H31" s="16" t="s">
        <v>435</v>
      </c>
    </row>
    <row r="32" ht="12.75" customHeight="1">
      <c r="C32" s="167" t="s">
        <v>436</v>
      </c>
      <c r="D32" s="16">
        <v>28000.0</v>
      </c>
      <c r="E32" s="16" t="s">
        <v>400</v>
      </c>
      <c r="F32" s="16" t="s">
        <v>437</v>
      </c>
    </row>
    <row r="33" ht="12.75" customHeight="1">
      <c r="C33" s="168" t="s">
        <v>438</v>
      </c>
      <c r="D33" s="16">
        <v>33000.0</v>
      </c>
      <c r="E33" s="16" t="s">
        <v>382</v>
      </c>
      <c r="F33" s="16" t="s">
        <v>439</v>
      </c>
    </row>
    <row r="34" ht="12.75" customHeight="1">
      <c r="C34" s="169" t="s">
        <v>440</v>
      </c>
      <c r="D34" s="16">
        <v>33000.0</v>
      </c>
      <c r="E34" s="16" t="s">
        <v>382</v>
      </c>
      <c r="F34" s="16" t="s">
        <v>441</v>
      </c>
    </row>
    <row r="35" ht="12.75" customHeight="1">
      <c r="C35" s="22" t="s">
        <v>442</v>
      </c>
      <c r="D35" s="16">
        <v>33000.0</v>
      </c>
      <c r="E35" s="16" t="s">
        <v>382</v>
      </c>
      <c r="F35" s="16" t="s">
        <v>443</v>
      </c>
      <c r="H35" s="16" t="s">
        <v>444</v>
      </c>
    </row>
    <row r="36" ht="12.75" customHeight="1">
      <c r="C36" s="22" t="s">
        <v>445</v>
      </c>
      <c r="D36" s="16">
        <v>33000.0</v>
      </c>
      <c r="E36" s="16" t="s">
        <v>382</v>
      </c>
      <c r="F36" s="16" t="s">
        <v>446</v>
      </c>
    </row>
    <row r="37" ht="12.75" customHeight="1">
      <c r="C37" s="22" t="s">
        <v>74</v>
      </c>
      <c r="D37" s="16">
        <v>33000.0</v>
      </c>
      <c r="E37" s="16" t="s">
        <v>382</v>
      </c>
      <c r="F37" s="16" t="s">
        <v>447</v>
      </c>
      <c r="H37" s="16" t="s">
        <v>448</v>
      </c>
    </row>
    <row r="38" ht="12.75" customHeight="1">
      <c r="C38" s="22" t="s">
        <v>389</v>
      </c>
      <c r="D38" s="16">
        <v>28000.0</v>
      </c>
      <c r="E38" s="16" t="s">
        <v>400</v>
      </c>
      <c r="F38" s="16" t="s">
        <v>449</v>
      </c>
    </row>
    <row r="39" ht="12.75" customHeight="1"/>
    <row r="40" ht="12.75" customHeight="1">
      <c r="C40" s="170" t="s">
        <v>450</v>
      </c>
      <c r="D40" s="115">
        <v>28000.0</v>
      </c>
      <c r="E40" s="115" t="s">
        <v>400</v>
      </c>
      <c r="F40" s="115" t="s">
        <v>451</v>
      </c>
      <c r="H40" s="16" t="s">
        <v>452</v>
      </c>
    </row>
    <row r="41" ht="12.75" customHeight="1">
      <c r="C41" s="16" t="s">
        <v>453</v>
      </c>
      <c r="D41" s="16">
        <v>33000.0</v>
      </c>
      <c r="E41" s="16" t="s">
        <v>382</v>
      </c>
      <c r="F41" s="16" t="s">
        <v>454</v>
      </c>
    </row>
    <row r="42" ht="12.75" customHeight="1"/>
    <row r="43" ht="12.75" customHeight="1"/>
    <row r="44" ht="12.75" customHeight="1">
      <c r="C44" s="22" t="s">
        <v>455</v>
      </c>
    </row>
    <row r="45" ht="12.75" customHeight="1">
      <c r="C45" s="22" t="s">
        <v>456</v>
      </c>
      <c r="D45" s="16" t="s">
        <v>457</v>
      </c>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sheetData>
  <mergeCells count="1">
    <mergeCell ref="B31:B33"/>
  </mergeCells>
  <printOptions/>
  <pageMargins bottom="0.7875" footer="0.0" header="0.0" left="0.7875" right="0.7875" top="0.7875"/>
  <pageSetup paperSize="9"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2" width="29.63"/>
    <col customWidth="1" min="3" max="3" width="15.13"/>
    <col customWidth="1" min="4" max="4" width="16.75"/>
    <col customWidth="1" min="5" max="5" width="19.25"/>
    <col customWidth="1" min="6" max="6" width="24.38"/>
    <col customWidth="1" min="7" max="7" width="42.38"/>
    <col customWidth="1" min="8" max="8" width="72.38"/>
  </cols>
  <sheetData>
    <row r="1">
      <c r="B1" s="22" t="s">
        <v>458</v>
      </c>
      <c r="C1" s="22" t="s">
        <v>95</v>
      </c>
      <c r="D1" s="22" t="s">
        <v>459</v>
      </c>
      <c r="E1" s="22" t="s">
        <v>460</v>
      </c>
      <c r="F1" s="22" t="s">
        <v>461</v>
      </c>
      <c r="G1" s="22" t="s">
        <v>462</v>
      </c>
      <c r="H1" s="22" t="s">
        <v>463</v>
      </c>
    </row>
    <row r="2">
      <c r="A2" s="171" t="s">
        <v>464</v>
      </c>
      <c r="B2" s="172" t="s">
        <v>465</v>
      </c>
      <c r="C2" s="172" t="s">
        <v>466</v>
      </c>
      <c r="D2" s="172" t="s">
        <v>467</v>
      </c>
      <c r="E2" s="172" t="s">
        <v>468</v>
      </c>
      <c r="F2" s="172" t="s">
        <v>469</v>
      </c>
      <c r="G2" s="172" t="s">
        <v>470</v>
      </c>
      <c r="H2" s="172" t="s">
        <v>471</v>
      </c>
    </row>
    <row r="3">
      <c r="A3" s="171" t="s">
        <v>472</v>
      </c>
      <c r="B3" s="172" t="s">
        <v>473</v>
      </c>
      <c r="C3" s="172" t="s">
        <v>466</v>
      </c>
      <c r="D3" s="172" t="s">
        <v>474</v>
      </c>
      <c r="E3" s="172" t="s">
        <v>461</v>
      </c>
      <c r="F3" s="172" t="s">
        <v>475</v>
      </c>
      <c r="G3" s="172" t="s">
        <v>476</v>
      </c>
      <c r="H3" s="173"/>
    </row>
    <row r="4">
      <c r="A4" s="172" t="s">
        <v>477</v>
      </c>
      <c r="B4" s="172" t="s">
        <v>478</v>
      </c>
      <c r="C4" s="172" t="s">
        <v>479</v>
      </c>
      <c r="D4" s="172" t="s">
        <v>480</v>
      </c>
      <c r="E4" s="172" t="s">
        <v>481</v>
      </c>
      <c r="F4" s="172" t="s">
        <v>482</v>
      </c>
      <c r="G4" s="172" t="s">
        <v>483</v>
      </c>
      <c r="H4" s="172" t="s">
        <v>484</v>
      </c>
    </row>
    <row r="5">
      <c r="A5" s="171" t="s">
        <v>485</v>
      </c>
      <c r="B5" s="172" t="s">
        <v>486</v>
      </c>
      <c r="C5" s="172" t="s">
        <v>487</v>
      </c>
      <c r="D5" s="172" t="s">
        <v>488</v>
      </c>
      <c r="E5" s="172" t="s">
        <v>489</v>
      </c>
      <c r="F5" s="172" t="s">
        <v>490</v>
      </c>
      <c r="G5" s="172" t="s">
        <v>491</v>
      </c>
      <c r="H5" s="173"/>
    </row>
    <row r="6">
      <c r="A6" s="171" t="s">
        <v>492</v>
      </c>
      <c r="B6" s="172" t="s">
        <v>493</v>
      </c>
      <c r="C6" s="172" t="s">
        <v>494</v>
      </c>
      <c r="D6" s="172" t="s">
        <v>495</v>
      </c>
      <c r="E6" s="172" t="s">
        <v>496</v>
      </c>
      <c r="F6" s="173"/>
      <c r="G6" s="172" t="s">
        <v>497</v>
      </c>
      <c r="H6" s="172" t="s">
        <v>498</v>
      </c>
    </row>
    <row r="7">
      <c r="A7" s="171" t="s">
        <v>499</v>
      </c>
      <c r="B7" s="172" t="s">
        <v>500</v>
      </c>
      <c r="C7" s="172" t="s">
        <v>501</v>
      </c>
      <c r="D7" s="172" t="s">
        <v>502</v>
      </c>
      <c r="E7" s="172" t="s">
        <v>503</v>
      </c>
      <c r="F7" s="172" t="s">
        <v>504</v>
      </c>
      <c r="G7" s="172" t="s">
        <v>505</v>
      </c>
      <c r="H7" s="172" t="s">
        <v>506</v>
      </c>
    </row>
    <row r="8">
      <c r="A8" s="171" t="s">
        <v>507</v>
      </c>
      <c r="B8" s="172" t="s">
        <v>508</v>
      </c>
      <c r="C8" s="172" t="s">
        <v>509</v>
      </c>
      <c r="D8" s="172" t="s">
        <v>510</v>
      </c>
      <c r="E8" s="172" t="s">
        <v>511</v>
      </c>
      <c r="F8" s="172" t="s">
        <v>512</v>
      </c>
      <c r="G8" s="173"/>
      <c r="H8" s="172" t="s">
        <v>513</v>
      </c>
    </row>
    <row r="9">
      <c r="A9" s="171" t="s">
        <v>514</v>
      </c>
      <c r="B9" s="172" t="s">
        <v>515</v>
      </c>
      <c r="C9" s="173"/>
      <c r="D9" s="172" t="s">
        <v>516</v>
      </c>
      <c r="E9" s="172" t="s">
        <v>517</v>
      </c>
      <c r="F9" s="172" t="s">
        <v>518</v>
      </c>
      <c r="G9" s="173"/>
      <c r="H9" s="172" t="s">
        <v>519</v>
      </c>
    </row>
    <row r="10">
      <c r="A10" s="171" t="s">
        <v>520</v>
      </c>
      <c r="B10" s="172" t="s">
        <v>521</v>
      </c>
      <c r="C10" s="172" t="s">
        <v>522</v>
      </c>
      <c r="D10" s="172" t="s">
        <v>523</v>
      </c>
      <c r="E10" s="172" t="s">
        <v>524</v>
      </c>
      <c r="F10" s="172" t="s">
        <v>525</v>
      </c>
      <c r="G10" s="172" t="s">
        <v>526</v>
      </c>
      <c r="H10" s="172" t="s">
        <v>527</v>
      </c>
    </row>
    <row r="11">
      <c r="A11" s="174"/>
      <c r="B11" s="173"/>
      <c r="C11" s="173"/>
      <c r="D11" s="173"/>
      <c r="E11" s="173"/>
      <c r="F11" s="173"/>
      <c r="G11" s="173"/>
      <c r="H11" s="173"/>
    </row>
    <row r="12">
      <c r="B12" s="175"/>
      <c r="C12" s="175"/>
      <c r="D12" s="175"/>
      <c r="E12" s="175"/>
      <c r="F12" s="175"/>
      <c r="G12" s="175"/>
      <c r="H12" s="175"/>
    </row>
    <row r="13">
      <c r="A13" s="16" t="s">
        <v>528</v>
      </c>
      <c r="B13" s="176" t="s">
        <v>529</v>
      </c>
      <c r="C13" s="177" t="s">
        <v>530</v>
      </c>
      <c r="D13" s="175"/>
      <c r="E13" s="175"/>
      <c r="F13" s="175"/>
      <c r="G13" s="175"/>
      <c r="H13" s="175"/>
    </row>
    <row r="14">
      <c r="B14" s="175"/>
      <c r="C14" s="177"/>
      <c r="D14" s="175"/>
      <c r="E14" s="175"/>
      <c r="F14" s="175"/>
      <c r="G14" s="175"/>
      <c r="H14" s="175"/>
    </row>
    <row r="15">
      <c r="B15" s="175"/>
      <c r="C15" s="177"/>
      <c r="D15" s="175"/>
      <c r="E15" s="175"/>
      <c r="F15" s="175"/>
      <c r="G15" s="175"/>
      <c r="H15" s="175"/>
    </row>
    <row r="16">
      <c r="B16" s="175"/>
      <c r="C16" s="175"/>
      <c r="D16" s="175"/>
      <c r="E16" s="175"/>
      <c r="F16" s="175"/>
      <c r="G16" s="175"/>
      <c r="H16" s="175"/>
    </row>
    <row r="17">
      <c r="B17" s="175"/>
      <c r="C17" s="175"/>
      <c r="D17" s="175"/>
      <c r="E17" s="175"/>
      <c r="F17" s="175"/>
      <c r="G17" s="175"/>
      <c r="H17" s="175"/>
    </row>
    <row r="18">
      <c r="B18" s="175"/>
      <c r="C18" s="175"/>
      <c r="D18" s="175"/>
      <c r="E18" s="175"/>
      <c r="F18" s="175"/>
      <c r="G18" s="175"/>
      <c r="H18" s="175"/>
    </row>
    <row r="19">
      <c r="B19" s="175"/>
      <c r="C19" s="175"/>
      <c r="D19" s="175"/>
      <c r="E19" s="175"/>
      <c r="F19" s="175"/>
      <c r="G19" s="175"/>
      <c r="H19" s="175"/>
    </row>
  </sheetData>
  <hyperlinks>
    <hyperlink r:id="rId1" ref="B13"/>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0"/>
    <col customWidth="1" min="2" max="10" width="11.63"/>
    <col customWidth="1" min="11" max="13" width="8.0"/>
    <col customWidth="1" min="14" max="14" width="14.63"/>
    <col customWidth="1" min="15" max="15" width="13.63"/>
    <col customWidth="1" min="16" max="21" width="8.0"/>
  </cols>
  <sheetData>
    <row r="1">
      <c r="A1" s="16" t="s">
        <v>531</v>
      </c>
      <c r="B1" s="178" t="s">
        <v>532</v>
      </c>
      <c r="C1" s="178" t="s">
        <v>533</v>
      </c>
      <c r="D1" s="179" t="s">
        <v>534</v>
      </c>
      <c r="E1" s="180" t="s">
        <v>535</v>
      </c>
      <c r="F1" s="167" t="s">
        <v>536</v>
      </c>
      <c r="G1" s="180" t="s">
        <v>537</v>
      </c>
      <c r="H1" s="180" t="s">
        <v>538</v>
      </c>
      <c r="I1" s="180" t="s">
        <v>539</v>
      </c>
      <c r="J1" s="180" t="s">
        <v>540</v>
      </c>
      <c r="K1" s="144" t="s">
        <v>541</v>
      </c>
      <c r="L1" s="144" t="s">
        <v>542</v>
      </c>
      <c r="M1" s="180" t="s">
        <v>543</v>
      </c>
      <c r="N1" s="22" t="s">
        <v>544</v>
      </c>
      <c r="O1" s="22" t="s">
        <v>545</v>
      </c>
      <c r="P1" s="144" t="s">
        <v>546</v>
      </c>
      <c r="Q1" s="144" t="s">
        <v>547</v>
      </c>
      <c r="R1" s="22" t="s">
        <v>548</v>
      </c>
      <c r="S1" s="22" t="s">
        <v>549</v>
      </c>
      <c r="T1" s="22" t="s">
        <v>550</v>
      </c>
      <c r="U1" s="144" t="s">
        <v>551</v>
      </c>
    </row>
    <row r="2">
      <c r="A2" s="22" t="s">
        <v>552</v>
      </c>
      <c r="B2" s="102">
        <v>1.33</v>
      </c>
      <c r="C2" s="102">
        <v>2.14</v>
      </c>
      <c r="D2" s="102">
        <v>1.23</v>
      </c>
      <c r="E2" s="102">
        <v>0.633</v>
      </c>
      <c r="F2" s="102">
        <v>0.71</v>
      </c>
      <c r="G2" s="102">
        <v>1.19</v>
      </c>
      <c r="H2" s="102">
        <v>1.21</v>
      </c>
      <c r="I2" s="102">
        <v>1.4</v>
      </c>
      <c r="J2" s="102">
        <v>1.57</v>
      </c>
      <c r="K2" s="102"/>
      <c r="L2" s="102"/>
      <c r="M2" s="102">
        <v>0.35</v>
      </c>
      <c r="N2" s="102">
        <v>0.48</v>
      </c>
      <c r="O2" s="102">
        <v>0.28</v>
      </c>
      <c r="P2" s="102">
        <v>0.45</v>
      </c>
      <c r="Q2" s="102">
        <v>1.33</v>
      </c>
      <c r="R2" s="102">
        <v>0.45</v>
      </c>
      <c r="S2" s="102">
        <v>0.36</v>
      </c>
      <c r="T2" s="102">
        <v>0.51</v>
      </c>
      <c r="U2" s="102">
        <v>0.207</v>
      </c>
    </row>
    <row r="3">
      <c r="A3" s="16" t="s">
        <v>553</v>
      </c>
      <c r="B3" s="102">
        <v>0.64</v>
      </c>
      <c r="C3" s="102">
        <v>0.73</v>
      </c>
      <c r="D3" s="102">
        <v>0.1</v>
      </c>
      <c r="E3" s="102">
        <v>0.4</v>
      </c>
      <c r="F3" s="102">
        <v>0.24</v>
      </c>
      <c r="G3" s="102">
        <v>0.21</v>
      </c>
      <c r="H3" s="102">
        <v>0.57</v>
      </c>
      <c r="I3" s="102">
        <v>-0.13</v>
      </c>
      <c r="J3" s="102">
        <v>0.03</v>
      </c>
      <c r="K3" s="102"/>
      <c r="L3" s="102"/>
      <c r="M3" s="102">
        <v>0.21</v>
      </c>
      <c r="N3" s="102">
        <v>0.05</v>
      </c>
      <c r="O3" s="102">
        <v>0.14</v>
      </c>
      <c r="P3" s="102">
        <v>0.11</v>
      </c>
      <c r="Q3" s="102">
        <v>0.21</v>
      </c>
      <c r="R3" s="102">
        <v>0.07</v>
      </c>
      <c r="S3" s="102">
        <v>0.1</v>
      </c>
      <c r="T3" s="102">
        <v>0.06</v>
      </c>
      <c r="U3" s="102">
        <v>0.04</v>
      </c>
    </row>
    <row r="4">
      <c r="A4" s="16" t="s">
        <v>554</v>
      </c>
      <c r="B4" s="102">
        <v>1.54</v>
      </c>
      <c r="C4" s="102">
        <v>2.39</v>
      </c>
      <c r="D4" s="102">
        <v>0.4</v>
      </c>
      <c r="E4" s="102">
        <v>0.91</v>
      </c>
      <c r="F4" s="102">
        <v>0.67</v>
      </c>
      <c r="G4" s="102">
        <v>0.64</v>
      </c>
      <c r="H4" s="102">
        <v>1.42</v>
      </c>
      <c r="I4" s="102">
        <v>0.35</v>
      </c>
      <c r="J4" s="102">
        <v>0.18</v>
      </c>
      <c r="K4" s="102"/>
      <c r="L4" s="102"/>
      <c r="M4" s="102">
        <v>0.59</v>
      </c>
      <c r="N4" s="102">
        <v>0.47</v>
      </c>
      <c r="O4" s="102">
        <v>0.34</v>
      </c>
      <c r="P4" s="102">
        <v>0.29</v>
      </c>
      <c r="Q4" s="102">
        <v>0.89</v>
      </c>
      <c r="R4" s="102">
        <v>0.23</v>
      </c>
      <c r="S4" s="102">
        <v>0.26</v>
      </c>
      <c r="T4" s="102">
        <v>0.3</v>
      </c>
      <c r="U4" s="102">
        <v>0.17</v>
      </c>
    </row>
    <row r="5">
      <c r="A5" s="16" t="s">
        <v>555</v>
      </c>
      <c r="B5" s="102">
        <v>2.92</v>
      </c>
      <c r="C5" s="102">
        <v>4.41</v>
      </c>
      <c r="D5" s="102">
        <v>1.25</v>
      </c>
      <c r="E5" s="102">
        <v>1.61</v>
      </c>
      <c r="F5" s="102">
        <v>1.26</v>
      </c>
      <c r="G5" s="102">
        <v>1.29</v>
      </c>
      <c r="H5" s="102">
        <v>2.6</v>
      </c>
      <c r="I5" s="102">
        <v>1.06</v>
      </c>
      <c r="J5" s="102">
        <v>1.14</v>
      </c>
      <c r="K5" s="102"/>
      <c r="L5" s="102"/>
      <c r="M5" s="102">
        <v>1.1</v>
      </c>
      <c r="N5" s="102">
        <v>1.21</v>
      </c>
      <c r="O5" s="102">
        <v>0.82</v>
      </c>
      <c r="P5" s="102">
        <v>0.6</v>
      </c>
      <c r="Q5" s="102">
        <v>1.59</v>
      </c>
      <c r="R5" s="102">
        <v>0.46</v>
      </c>
      <c r="S5" s="102">
        <v>0.4</v>
      </c>
      <c r="T5" s="102">
        <v>0.46</v>
      </c>
      <c r="U5" s="102">
        <v>0.41</v>
      </c>
    </row>
    <row r="6">
      <c r="A6" s="16" t="s">
        <v>556</v>
      </c>
      <c r="B6" s="102">
        <v>12.21</v>
      </c>
      <c r="C6" s="102">
        <v>13.31</v>
      </c>
      <c r="D6" s="102">
        <v>7.39</v>
      </c>
      <c r="E6" s="102">
        <v>3.14</v>
      </c>
      <c r="F6" s="102">
        <v>4.28</v>
      </c>
      <c r="G6" s="102">
        <v>3.6</v>
      </c>
      <c r="H6" s="102">
        <v>10.05</v>
      </c>
      <c r="I6" s="102">
        <v>32.19</v>
      </c>
      <c r="J6" s="102">
        <v>11.37</v>
      </c>
      <c r="K6" s="102"/>
      <c r="L6" s="102"/>
      <c r="M6" s="102">
        <v>2.49</v>
      </c>
      <c r="N6" s="102">
        <v>3.06</v>
      </c>
      <c r="O6" s="102">
        <v>2.4</v>
      </c>
      <c r="P6" s="102">
        <v>1.36</v>
      </c>
      <c r="Q6" s="102">
        <v>5.73</v>
      </c>
      <c r="R6" s="102">
        <v>1.43</v>
      </c>
      <c r="S6" s="102">
        <v>1.88</v>
      </c>
      <c r="T6" s="102">
        <v>1.46</v>
      </c>
      <c r="U6" s="102">
        <v>1.47</v>
      </c>
    </row>
    <row r="7">
      <c r="A7" s="16" t="s">
        <v>557</v>
      </c>
      <c r="B7" s="16">
        <v>147.0</v>
      </c>
      <c r="C7" s="16">
        <v>49.0</v>
      </c>
      <c r="D7" s="16">
        <v>45.0</v>
      </c>
      <c r="E7" s="16">
        <v>1.0</v>
      </c>
      <c r="F7" s="16">
        <v>50.0</v>
      </c>
      <c r="G7" s="16">
        <v>0.0</v>
      </c>
      <c r="H7" s="16">
        <v>109.0</v>
      </c>
      <c r="I7" s="16">
        <v>50.0</v>
      </c>
      <c r="J7" s="16">
        <v>85.0</v>
      </c>
      <c r="M7" s="16">
        <v>15.0</v>
      </c>
    </row>
    <row r="8">
      <c r="B8" s="16" t="s">
        <v>558</v>
      </c>
    </row>
    <row r="9">
      <c r="C9" s="16" t="s">
        <v>559</v>
      </c>
    </row>
    <row r="10">
      <c r="D10" s="16" t="s">
        <v>560</v>
      </c>
    </row>
    <row r="12">
      <c r="B12" s="181">
        <v>1.0</v>
      </c>
      <c r="C12" s="182">
        <v>1.0</v>
      </c>
      <c r="D12" s="16">
        <v>1.0</v>
      </c>
      <c r="E12" s="181">
        <v>1.0</v>
      </c>
      <c r="F12" s="181">
        <v>1.0</v>
      </c>
      <c r="G12" s="16">
        <v>1.0</v>
      </c>
      <c r="H12" s="181">
        <v>1.0</v>
      </c>
      <c r="I12" s="16">
        <v>1.0</v>
      </c>
      <c r="J12" s="16">
        <v>1.0</v>
      </c>
      <c r="K12" s="16">
        <v>1.0</v>
      </c>
      <c r="L12" s="16">
        <v>1.0</v>
      </c>
      <c r="M12" s="181">
        <v>1.0</v>
      </c>
      <c r="N12" s="16">
        <v>1.0</v>
      </c>
      <c r="O12" s="181">
        <v>1.0</v>
      </c>
    </row>
    <row r="13">
      <c r="B13" s="181">
        <v>1.0</v>
      </c>
      <c r="C13" s="182">
        <v>1.0</v>
      </c>
      <c r="D13" s="16">
        <v>1.0</v>
      </c>
      <c r="E13" s="181">
        <v>1.0</v>
      </c>
      <c r="F13" s="181">
        <v>1.0</v>
      </c>
      <c r="G13" s="16">
        <v>1.0</v>
      </c>
      <c r="H13" s="181">
        <v>1.0</v>
      </c>
      <c r="I13" s="16">
        <v>1.0</v>
      </c>
      <c r="J13" s="16">
        <v>1.0</v>
      </c>
      <c r="K13" s="16">
        <v>1.0</v>
      </c>
      <c r="L13" s="16">
        <v>1.0</v>
      </c>
      <c r="M13" s="181">
        <v>1.0</v>
      </c>
      <c r="N13" s="16">
        <v>1.0</v>
      </c>
      <c r="O13" s="16">
        <v>1.0</v>
      </c>
    </row>
    <row r="15">
      <c r="A15" s="16" t="s">
        <v>561</v>
      </c>
      <c r="B15" s="183"/>
      <c r="C15" s="184"/>
      <c r="E15" s="184"/>
      <c r="F15" s="184"/>
      <c r="H15" s="183"/>
      <c r="M15" s="183"/>
      <c r="O15" s="184"/>
    </row>
    <row r="16">
      <c r="A16" s="16" t="s">
        <v>562</v>
      </c>
      <c r="B16" s="184"/>
      <c r="C16" s="183"/>
      <c r="E16" s="183"/>
      <c r="F16" s="184"/>
      <c r="H16" s="184"/>
      <c r="M16" s="184"/>
      <c r="O16" s="185"/>
    </row>
    <row r="17">
      <c r="A17" s="16" t="s">
        <v>563</v>
      </c>
      <c r="B17" s="184"/>
      <c r="H17" s="184"/>
      <c r="M17" s="184"/>
    </row>
    <row r="18">
      <c r="A18" s="16" t="s">
        <v>564</v>
      </c>
      <c r="B18" s="183"/>
      <c r="C18" s="183"/>
      <c r="E18" s="183"/>
      <c r="F18" s="183"/>
      <c r="M18" s="183"/>
      <c r="O18" s="183"/>
    </row>
    <row r="20">
      <c r="A20" s="16" t="s">
        <v>565</v>
      </c>
      <c r="B20" s="184"/>
      <c r="C20" s="184"/>
      <c r="E20" s="184"/>
      <c r="F20" s="184"/>
      <c r="H20" s="184"/>
      <c r="M20" s="184"/>
      <c r="O20" s="185"/>
    </row>
    <row r="21">
      <c r="A21" s="16" t="s">
        <v>566</v>
      </c>
      <c r="B21" s="184"/>
      <c r="C21" s="184"/>
      <c r="E21" s="184"/>
      <c r="F21" s="184"/>
      <c r="H21" s="184"/>
      <c r="M21" s="184"/>
      <c r="O21" s="18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25"/>
    <col customWidth="1" min="2" max="2" width="14.88"/>
    <col customWidth="1" min="3" max="3" width="9.5"/>
    <col customWidth="1" min="4" max="4" width="7.63"/>
    <col customWidth="1" min="5" max="5" width="9.63"/>
    <col customWidth="1" min="6" max="7" width="11.25"/>
    <col customWidth="1" min="8" max="8" width="10.25"/>
    <col customWidth="1" min="9" max="9" width="9.13"/>
    <col customWidth="1" min="10" max="10" width="8.0"/>
  </cols>
  <sheetData>
    <row r="1" ht="30.0" customHeight="1">
      <c r="A1" s="22" t="s">
        <v>567</v>
      </c>
      <c r="B1" s="121" t="s">
        <v>568</v>
      </c>
      <c r="C1" s="121" t="s">
        <v>376</v>
      </c>
      <c r="D1" s="121" t="s">
        <v>569</v>
      </c>
      <c r="E1" s="125" t="s">
        <v>570</v>
      </c>
      <c r="F1" s="125" t="s">
        <v>571</v>
      </c>
      <c r="G1" s="125" t="s">
        <v>572</v>
      </c>
      <c r="H1" s="125" t="s">
        <v>573</v>
      </c>
      <c r="I1" s="125" t="s">
        <v>574</v>
      </c>
      <c r="J1" s="125" t="s">
        <v>575</v>
      </c>
    </row>
    <row r="2">
      <c r="A2" s="16" t="s">
        <v>576</v>
      </c>
      <c r="B2" s="97" t="s">
        <v>577</v>
      </c>
      <c r="C2" s="97" t="s">
        <v>400</v>
      </c>
      <c r="D2" s="186">
        <v>14993.0</v>
      </c>
      <c r="E2" s="187">
        <v>16200.0</v>
      </c>
      <c r="F2" s="187">
        <f>17772*1.08</f>
        <v>19193.76</v>
      </c>
      <c r="G2" s="188">
        <v>21203.0</v>
      </c>
      <c r="H2" s="188">
        <v>22726.0</v>
      </c>
      <c r="I2" s="188">
        <v>24495.0</v>
      </c>
      <c r="J2" s="188">
        <f>24060*1.16</f>
        <v>27909.6</v>
      </c>
    </row>
    <row r="3">
      <c r="A3" s="16" t="s">
        <v>578</v>
      </c>
      <c r="B3" s="97" t="s">
        <v>579</v>
      </c>
      <c r="C3" s="97" t="s">
        <v>382</v>
      </c>
      <c r="D3" s="189">
        <v>32951.0</v>
      </c>
      <c r="E3" s="187">
        <f t="shared" ref="E3:E9" si="1">D3</f>
        <v>32951</v>
      </c>
      <c r="F3" s="188">
        <v>31817.0</v>
      </c>
      <c r="G3" s="188">
        <v>36118.0</v>
      </c>
      <c r="H3" s="188">
        <v>37185.0</v>
      </c>
      <c r="I3" s="188">
        <v>37938.0</v>
      </c>
      <c r="J3" s="188">
        <v>34295.0</v>
      </c>
    </row>
    <row r="4">
      <c r="A4" s="16" t="s">
        <v>580</v>
      </c>
      <c r="B4" s="97" t="s">
        <v>581</v>
      </c>
      <c r="C4" s="97" t="s">
        <v>382</v>
      </c>
      <c r="D4" s="189">
        <v>9635.0</v>
      </c>
      <c r="E4" s="187">
        <f t="shared" si="1"/>
        <v>9635</v>
      </c>
      <c r="F4" s="188">
        <v>9999.0</v>
      </c>
      <c r="G4" s="188">
        <v>10154.0</v>
      </c>
      <c r="H4" s="188">
        <v>10542.0</v>
      </c>
      <c r="I4" s="188">
        <v>9919.0</v>
      </c>
      <c r="J4" s="188">
        <v>13881.0</v>
      </c>
    </row>
    <row r="5">
      <c r="A5" s="16" t="s">
        <v>582</v>
      </c>
      <c r="B5" s="97" t="s">
        <v>583</v>
      </c>
      <c r="C5" s="97" t="s">
        <v>382</v>
      </c>
      <c r="D5" s="189">
        <v>21362.0</v>
      </c>
      <c r="E5" s="187">
        <f t="shared" si="1"/>
        <v>21362</v>
      </c>
      <c r="F5" s="188">
        <v>21820.0</v>
      </c>
      <c r="G5" s="188">
        <v>22415.0</v>
      </c>
      <c r="H5" s="188">
        <v>22744.0</v>
      </c>
      <c r="I5" s="188">
        <v>23302.0</v>
      </c>
      <c r="J5" s="188">
        <v>23371.0</v>
      </c>
    </row>
    <row r="6">
      <c r="A6" s="16" t="s">
        <v>584</v>
      </c>
      <c r="B6" s="97" t="s">
        <v>585</v>
      </c>
      <c r="C6" s="97" t="s">
        <v>382</v>
      </c>
      <c r="D6" s="189">
        <v>59409.0</v>
      </c>
      <c r="E6" s="187">
        <f t="shared" si="1"/>
        <v>59409</v>
      </c>
      <c r="F6" s="188">
        <v>69997.0</v>
      </c>
      <c r="G6" s="188">
        <v>82856.0</v>
      </c>
      <c r="H6" s="188">
        <v>89152.0</v>
      </c>
      <c r="I6" s="188">
        <v>102869.0</v>
      </c>
      <c r="J6" s="188">
        <v>116776.0</v>
      </c>
    </row>
    <row r="7">
      <c r="A7" s="16" t="s">
        <v>586</v>
      </c>
      <c r="B7" s="97" t="s">
        <v>587</v>
      </c>
      <c r="C7" s="97" t="s">
        <v>382</v>
      </c>
      <c r="D7" s="189">
        <v>27365.0</v>
      </c>
      <c r="E7" s="187">
        <f t="shared" si="1"/>
        <v>27365</v>
      </c>
      <c r="F7" s="188">
        <v>26670.0</v>
      </c>
      <c r="G7" s="188">
        <v>28636.0</v>
      </c>
      <c r="H7" s="188">
        <v>31512.0</v>
      </c>
      <c r="I7" s="188">
        <v>28000.0</v>
      </c>
      <c r="J7" s="188">
        <v>26630.0</v>
      </c>
    </row>
    <row r="8">
      <c r="A8" s="16" t="s">
        <v>588</v>
      </c>
      <c r="B8" s="97" t="s">
        <v>589</v>
      </c>
      <c r="C8" s="97" t="s">
        <v>382</v>
      </c>
      <c r="D8" s="189">
        <v>10992.0</v>
      </c>
      <c r="E8" s="187">
        <f t="shared" si="1"/>
        <v>10992</v>
      </c>
      <c r="F8" s="188">
        <v>12516.0</v>
      </c>
      <c r="G8" s="188">
        <v>14701.0</v>
      </c>
      <c r="H8" s="188">
        <v>15642.0</v>
      </c>
      <c r="I8" s="188">
        <v>15686.0</v>
      </c>
      <c r="J8" s="188">
        <v>19277.0</v>
      </c>
    </row>
    <row r="9">
      <c r="A9" s="16" t="s">
        <v>590</v>
      </c>
      <c r="B9" s="97" t="s">
        <v>591</v>
      </c>
      <c r="C9" s="97" t="s">
        <v>382</v>
      </c>
      <c r="D9" s="189">
        <v>13325.0</v>
      </c>
      <c r="E9" s="187">
        <f t="shared" si="1"/>
        <v>13325</v>
      </c>
      <c r="F9" s="188">
        <v>12972.0</v>
      </c>
      <c r="G9" s="188">
        <v>12959.0</v>
      </c>
      <c r="H9" s="188">
        <v>13404.0</v>
      </c>
      <c r="I9" s="188">
        <v>12808.0</v>
      </c>
      <c r="J9" s="188">
        <v>14605.0</v>
      </c>
    </row>
    <row r="10">
      <c r="B10" s="98"/>
      <c r="D10" s="189"/>
      <c r="E10" s="190">
        <f t="shared" ref="E10:J10" si="2">SUM(E2:E9)</f>
        <v>191239</v>
      </c>
      <c r="F10" s="190">
        <f t="shared" si="2"/>
        <v>204984.76</v>
      </c>
      <c r="G10" s="190">
        <f t="shared" si="2"/>
        <v>229042</v>
      </c>
      <c r="H10" s="190">
        <f t="shared" si="2"/>
        <v>242907</v>
      </c>
      <c r="I10" s="190">
        <f t="shared" si="2"/>
        <v>255017</v>
      </c>
      <c r="J10" s="190">
        <f t="shared" si="2"/>
        <v>276744.6</v>
      </c>
    </row>
    <row r="11">
      <c r="B11" s="98"/>
      <c r="J11" s="61">
        <f>J10/E10-1</f>
        <v>0.4471138209</v>
      </c>
    </row>
    <row r="12">
      <c r="B12" s="98"/>
      <c r="J12" s="187">
        <f>J10-E10</f>
        <v>85505.6</v>
      </c>
    </row>
    <row r="13">
      <c r="B13" s="98"/>
    </row>
    <row r="14">
      <c r="B14" s="98"/>
    </row>
    <row r="15">
      <c r="B15" s="98"/>
    </row>
    <row r="16">
      <c r="B16" s="98"/>
    </row>
    <row r="17">
      <c r="B17" s="98"/>
    </row>
    <row r="18">
      <c r="B18" s="98"/>
    </row>
    <row r="19">
      <c r="B19" s="98"/>
    </row>
    <row r="20">
      <c r="B20" s="98"/>
    </row>
    <row r="21">
      <c r="A21" s="191" t="s">
        <v>592</v>
      </c>
      <c r="B21" s="192" t="s">
        <v>593</v>
      </c>
      <c r="C21" s="192" t="s">
        <v>594</v>
      </c>
      <c r="D21" s="192" t="s">
        <v>595</v>
      </c>
      <c r="E21" s="192" t="s">
        <v>596</v>
      </c>
      <c r="F21" s="192" t="s">
        <v>376</v>
      </c>
    </row>
    <row r="22">
      <c r="A22" s="193" t="s">
        <v>597</v>
      </c>
      <c r="B22" s="192" t="s">
        <v>598</v>
      </c>
      <c r="C22" s="192" t="s">
        <v>599</v>
      </c>
      <c r="D22" s="192" t="s">
        <v>600</v>
      </c>
      <c r="E22" s="192" t="s">
        <v>601</v>
      </c>
      <c r="F22" s="192" t="s">
        <v>430</v>
      </c>
    </row>
    <row r="23">
      <c r="A23" s="194" t="s">
        <v>602</v>
      </c>
      <c r="B23" s="192" t="s">
        <v>603</v>
      </c>
      <c r="C23" s="192" t="s">
        <v>599</v>
      </c>
      <c r="D23" s="192" t="s">
        <v>600</v>
      </c>
      <c r="E23" s="195" t="s">
        <v>601</v>
      </c>
      <c r="F23" s="192" t="s">
        <v>430</v>
      </c>
    </row>
    <row r="24">
      <c r="A24" s="194" t="s">
        <v>604</v>
      </c>
      <c r="B24" s="192" t="s">
        <v>605</v>
      </c>
      <c r="C24" s="192" t="s">
        <v>397</v>
      </c>
      <c r="D24" s="192" t="s">
        <v>600</v>
      </c>
      <c r="E24" s="192" t="s">
        <v>606</v>
      </c>
      <c r="F24" s="192" t="s">
        <v>430</v>
      </c>
    </row>
    <row r="25">
      <c r="A25" s="194" t="s">
        <v>607</v>
      </c>
      <c r="B25" s="192" t="s">
        <v>608</v>
      </c>
      <c r="C25" s="192" t="s">
        <v>609</v>
      </c>
      <c r="D25" s="192" t="s">
        <v>600</v>
      </c>
      <c r="E25" s="195" t="s">
        <v>610</v>
      </c>
      <c r="F25" s="192" t="s">
        <v>430</v>
      </c>
    </row>
    <row r="26">
      <c r="A26" s="194" t="s">
        <v>611</v>
      </c>
      <c r="B26" s="192" t="s">
        <v>612</v>
      </c>
      <c r="C26" s="192" t="s">
        <v>609</v>
      </c>
      <c r="D26" s="192" t="s">
        <v>600</v>
      </c>
      <c r="E26" s="192" t="s">
        <v>610</v>
      </c>
      <c r="F26" s="192" t="s">
        <v>430</v>
      </c>
    </row>
    <row r="27">
      <c r="A27" s="194" t="s">
        <v>613</v>
      </c>
      <c r="B27" s="192" t="s">
        <v>614</v>
      </c>
      <c r="C27" s="192" t="s">
        <v>609</v>
      </c>
      <c r="D27" s="192" t="s">
        <v>600</v>
      </c>
      <c r="E27" s="192" t="s">
        <v>610</v>
      </c>
      <c r="F27" s="192" t="s">
        <v>430</v>
      </c>
    </row>
    <row r="28">
      <c r="A28" s="194" t="s">
        <v>615</v>
      </c>
      <c r="B28" s="192" t="s">
        <v>616</v>
      </c>
      <c r="C28" s="192" t="s">
        <v>609</v>
      </c>
      <c r="D28" s="192" t="s">
        <v>600</v>
      </c>
      <c r="E28" s="192" t="s">
        <v>610</v>
      </c>
      <c r="F28" s="192" t="s">
        <v>430</v>
      </c>
    </row>
    <row r="29">
      <c r="A29" s="196" t="s">
        <v>617</v>
      </c>
      <c r="B29" s="192" t="s">
        <v>618</v>
      </c>
      <c r="C29" s="192" t="s">
        <v>609</v>
      </c>
      <c r="D29" s="192" t="s">
        <v>619</v>
      </c>
      <c r="E29" s="192" t="s">
        <v>610</v>
      </c>
      <c r="F29" s="192" t="s">
        <v>430</v>
      </c>
    </row>
    <row r="30">
      <c r="A30" s="194" t="s">
        <v>620</v>
      </c>
      <c r="B30" s="192" t="s">
        <v>621</v>
      </c>
      <c r="C30" s="192" t="s">
        <v>609</v>
      </c>
      <c r="D30" s="192" t="s">
        <v>619</v>
      </c>
      <c r="E30" s="192" t="s">
        <v>610</v>
      </c>
      <c r="F30" s="192" t="s">
        <v>430</v>
      </c>
    </row>
    <row r="31">
      <c r="A31" s="194" t="s">
        <v>622</v>
      </c>
      <c r="B31" s="192" t="s">
        <v>623</v>
      </c>
      <c r="C31" s="192" t="s">
        <v>609</v>
      </c>
      <c r="D31" s="192" t="s">
        <v>619</v>
      </c>
      <c r="E31" s="192" t="s">
        <v>610</v>
      </c>
      <c r="F31" s="192" t="s">
        <v>430</v>
      </c>
    </row>
    <row r="32">
      <c r="A32" s="194" t="s">
        <v>624</v>
      </c>
      <c r="B32" s="192" t="s">
        <v>625</v>
      </c>
      <c r="C32" s="192" t="s">
        <v>609</v>
      </c>
      <c r="D32" s="192" t="s">
        <v>619</v>
      </c>
      <c r="E32" s="192" t="s">
        <v>610</v>
      </c>
      <c r="F32" s="192" t="s">
        <v>430</v>
      </c>
    </row>
    <row r="33">
      <c r="A33" s="194" t="s">
        <v>626</v>
      </c>
      <c r="B33" s="192" t="s">
        <v>627</v>
      </c>
      <c r="C33" s="192" t="s">
        <v>397</v>
      </c>
      <c r="D33" s="192" t="s">
        <v>600</v>
      </c>
      <c r="E33" s="192" t="s">
        <v>610</v>
      </c>
      <c r="F33" s="192" t="s">
        <v>430</v>
      </c>
    </row>
    <row r="34">
      <c r="A34" s="194" t="s">
        <v>628</v>
      </c>
      <c r="B34" s="192" t="s">
        <v>629</v>
      </c>
      <c r="C34" s="192" t="s">
        <v>397</v>
      </c>
      <c r="D34" s="192" t="s">
        <v>600</v>
      </c>
      <c r="E34" s="192" t="s">
        <v>610</v>
      </c>
      <c r="F34" s="192" t="s">
        <v>430</v>
      </c>
    </row>
    <row r="35">
      <c r="A35" s="194" t="s">
        <v>630</v>
      </c>
      <c r="B35" s="192" t="s">
        <v>631</v>
      </c>
      <c r="C35" s="192" t="s">
        <v>397</v>
      </c>
      <c r="D35" s="192" t="s">
        <v>600</v>
      </c>
      <c r="E35" s="192" t="s">
        <v>610</v>
      </c>
      <c r="F35" s="192" t="s">
        <v>430</v>
      </c>
    </row>
    <row r="36">
      <c r="A36" s="194" t="s">
        <v>632</v>
      </c>
      <c r="B36" s="192" t="s">
        <v>633</v>
      </c>
      <c r="C36" s="192" t="s">
        <v>634</v>
      </c>
      <c r="D36" s="192" t="s">
        <v>600</v>
      </c>
      <c r="E36" s="192" t="s">
        <v>606</v>
      </c>
      <c r="F36" s="192" t="s">
        <v>430</v>
      </c>
    </row>
    <row r="37">
      <c r="A37" s="194" t="s">
        <v>635</v>
      </c>
      <c r="B37" s="192" t="s">
        <v>636</v>
      </c>
      <c r="C37" s="192" t="s">
        <v>637</v>
      </c>
      <c r="D37" s="192" t="s">
        <v>600</v>
      </c>
      <c r="E37" s="192" t="s">
        <v>606</v>
      </c>
      <c r="F37" s="192" t="s">
        <v>430</v>
      </c>
    </row>
    <row r="38">
      <c r="A38" s="194" t="s">
        <v>638</v>
      </c>
      <c r="B38" s="192" t="s">
        <v>639</v>
      </c>
      <c r="C38" s="192" t="s">
        <v>609</v>
      </c>
      <c r="D38" s="192" t="s">
        <v>600</v>
      </c>
      <c r="E38" s="192" t="s">
        <v>606</v>
      </c>
      <c r="F38" s="192" t="s">
        <v>430</v>
      </c>
    </row>
    <row r="39">
      <c r="A39" s="194" t="s">
        <v>640</v>
      </c>
      <c r="B39" s="192" t="s">
        <v>605</v>
      </c>
      <c r="C39" s="192" t="s">
        <v>397</v>
      </c>
      <c r="D39" s="192" t="s">
        <v>619</v>
      </c>
      <c r="E39" s="192" t="s">
        <v>606</v>
      </c>
      <c r="F39" s="192" t="s">
        <v>430</v>
      </c>
    </row>
    <row r="40">
      <c r="A40" s="194" t="s">
        <v>641</v>
      </c>
      <c r="B40" s="192" t="s">
        <v>642</v>
      </c>
      <c r="C40" s="192" t="s">
        <v>643</v>
      </c>
      <c r="D40" s="192" t="s">
        <v>600</v>
      </c>
      <c r="E40" s="192" t="s">
        <v>606</v>
      </c>
      <c r="F40" s="192" t="s">
        <v>430</v>
      </c>
    </row>
    <row r="41">
      <c r="A41" s="194" t="s">
        <v>644</v>
      </c>
      <c r="B41" s="192" t="s">
        <v>645</v>
      </c>
      <c r="C41" s="192" t="s">
        <v>634</v>
      </c>
      <c r="D41" s="192" t="s">
        <v>600</v>
      </c>
      <c r="E41" s="192" t="s">
        <v>606</v>
      </c>
      <c r="F41" s="192" t="s">
        <v>430</v>
      </c>
    </row>
    <row r="42">
      <c r="A42" s="194" t="s">
        <v>646</v>
      </c>
      <c r="B42" s="192" t="s">
        <v>647</v>
      </c>
      <c r="C42" s="192" t="s">
        <v>648</v>
      </c>
      <c r="D42" s="192" t="s">
        <v>600</v>
      </c>
      <c r="E42" s="192" t="s">
        <v>606</v>
      </c>
      <c r="F42" s="192" t="s">
        <v>430</v>
      </c>
    </row>
    <row r="43">
      <c r="A43" s="194" t="s">
        <v>649</v>
      </c>
      <c r="B43" s="192" t="s">
        <v>650</v>
      </c>
      <c r="C43" s="192" t="s">
        <v>651</v>
      </c>
      <c r="D43" s="192" t="s">
        <v>600</v>
      </c>
      <c r="E43" s="192" t="s">
        <v>606</v>
      </c>
      <c r="F43" s="192" t="s">
        <v>430</v>
      </c>
    </row>
    <row r="44">
      <c r="A44" s="194" t="s">
        <v>652</v>
      </c>
      <c r="B44" s="192" t="s">
        <v>653</v>
      </c>
      <c r="C44" s="192" t="s">
        <v>654</v>
      </c>
      <c r="D44" s="192" t="s">
        <v>600</v>
      </c>
      <c r="E44" s="192" t="s">
        <v>606</v>
      </c>
      <c r="F44" s="192" t="s">
        <v>430</v>
      </c>
    </row>
    <row r="45">
      <c r="A45" s="194" t="s">
        <v>655</v>
      </c>
      <c r="B45" s="192" t="s">
        <v>656</v>
      </c>
      <c r="C45" s="192" t="s">
        <v>397</v>
      </c>
      <c r="D45" s="192" t="s">
        <v>619</v>
      </c>
      <c r="E45" s="192" t="s">
        <v>606</v>
      </c>
      <c r="F45" s="192" t="s">
        <v>430</v>
      </c>
    </row>
    <row r="46">
      <c r="A46" s="194" t="s">
        <v>657</v>
      </c>
      <c r="B46" s="192" t="s">
        <v>658</v>
      </c>
      <c r="C46" s="192" t="s">
        <v>397</v>
      </c>
      <c r="D46" s="192" t="s">
        <v>619</v>
      </c>
      <c r="E46" s="192" t="s">
        <v>606</v>
      </c>
      <c r="F46" s="192" t="s">
        <v>430</v>
      </c>
    </row>
    <row r="47">
      <c r="A47" s="194" t="s">
        <v>659</v>
      </c>
      <c r="B47" s="192" t="s">
        <v>660</v>
      </c>
      <c r="C47" s="192" t="s">
        <v>661</v>
      </c>
      <c r="D47" s="192" t="s">
        <v>619</v>
      </c>
      <c r="E47" s="192" t="s">
        <v>606</v>
      </c>
      <c r="F47" s="192" t="s">
        <v>430</v>
      </c>
    </row>
    <row r="48">
      <c r="A48" s="194" t="s">
        <v>662</v>
      </c>
      <c r="B48" s="192" t="s">
        <v>663</v>
      </c>
      <c r="C48" s="192" t="s">
        <v>402</v>
      </c>
      <c r="D48" s="192" t="s">
        <v>619</v>
      </c>
      <c r="E48" s="192" t="s">
        <v>606</v>
      </c>
      <c r="F48" s="192" t="s">
        <v>430</v>
      </c>
    </row>
    <row r="49">
      <c r="A49" s="194" t="s">
        <v>664</v>
      </c>
      <c r="B49" s="192" t="s">
        <v>665</v>
      </c>
      <c r="C49" s="192" t="s">
        <v>666</v>
      </c>
      <c r="D49" s="192" t="s">
        <v>619</v>
      </c>
      <c r="E49" s="192" t="s">
        <v>606</v>
      </c>
      <c r="F49" s="192" t="s">
        <v>430</v>
      </c>
    </row>
    <row r="50">
      <c r="A50" s="194" t="s">
        <v>667</v>
      </c>
      <c r="B50" s="192" t="s">
        <v>668</v>
      </c>
      <c r="C50" s="192" t="s">
        <v>609</v>
      </c>
      <c r="D50" s="192" t="s">
        <v>619</v>
      </c>
      <c r="E50" s="192" t="s">
        <v>606</v>
      </c>
      <c r="F50" s="192" t="s">
        <v>430</v>
      </c>
    </row>
    <row r="51">
      <c r="A51" s="194" t="s">
        <v>669</v>
      </c>
      <c r="B51" s="192" t="s">
        <v>670</v>
      </c>
      <c r="C51" s="192" t="s">
        <v>671</v>
      </c>
      <c r="D51" s="192" t="s">
        <v>619</v>
      </c>
      <c r="E51" s="192" t="s">
        <v>606</v>
      </c>
      <c r="F51" s="192" t="s">
        <v>430</v>
      </c>
    </row>
    <row r="52">
      <c r="A52" s="194" t="s">
        <v>672</v>
      </c>
      <c r="B52" s="192" t="s">
        <v>673</v>
      </c>
      <c r="C52" s="192" t="s">
        <v>654</v>
      </c>
      <c r="D52" s="192" t="s">
        <v>619</v>
      </c>
      <c r="E52" s="192" t="s">
        <v>606</v>
      </c>
      <c r="F52" s="192" t="s">
        <v>430</v>
      </c>
    </row>
    <row r="53">
      <c r="A53" s="194" t="s">
        <v>674</v>
      </c>
      <c r="B53" s="192" t="s">
        <v>675</v>
      </c>
      <c r="C53" s="192" t="s">
        <v>387</v>
      </c>
      <c r="D53" s="192" t="s">
        <v>619</v>
      </c>
      <c r="E53" s="192" t="s">
        <v>606</v>
      </c>
      <c r="F53" s="192" t="s">
        <v>430</v>
      </c>
    </row>
    <row r="54">
      <c r="B54" s="98"/>
    </row>
    <row r="55">
      <c r="B55" s="98"/>
    </row>
    <row r="56">
      <c r="B56" s="98"/>
    </row>
    <row r="57">
      <c r="B57" s="98"/>
    </row>
    <row r="58">
      <c r="B58" s="98"/>
    </row>
    <row r="59">
      <c r="B59" s="98"/>
    </row>
    <row r="60">
      <c r="B60" s="98"/>
    </row>
    <row r="61">
      <c r="B61" s="98"/>
    </row>
  </sheetData>
  <hyperlinks>
    <hyperlink r:id="rId1" ref="A22"/>
    <hyperlink r:id="rId2" ref="A23"/>
    <hyperlink r:id="rId3" ref="A24"/>
    <hyperlink r:id="rId4" ref="A25"/>
    <hyperlink r:id="rId5" ref="A26"/>
    <hyperlink r:id="rId6" ref="A27"/>
    <hyperlink r:id="rId7" ref="A28"/>
    <hyperlink r:id="rId8" ref="A29"/>
    <hyperlink r:id="rId9" ref="A30"/>
    <hyperlink r:id="rId10" ref="A31"/>
    <hyperlink r:id="rId11" ref="A32"/>
    <hyperlink r:id="rId12" ref="A33"/>
    <hyperlink r:id="rId13" ref="A34"/>
    <hyperlink r:id="rId14" ref="A35"/>
    <hyperlink r:id="rId15" ref="A36"/>
    <hyperlink r:id="rId16" ref="A37"/>
    <hyperlink r:id="rId17" ref="A38"/>
    <hyperlink r:id="rId18" ref="A39"/>
    <hyperlink r:id="rId19" ref="A40"/>
    <hyperlink r:id="rId20" ref="A41"/>
    <hyperlink r:id="rId21" ref="A42"/>
    <hyperlink r:id="rId22" ref="A43"/>
    <hyperlink r:id="rId23" ref="A44"/>
    <hyperlink r:id="rId24" ref="A45"/>
    <hyperlink r:id="rId25" ref="A46"/>
    <hyperlink r:id="rId26" ref="A47"/>
    <hyperlink r:id="rId27" ref="A48"/>
    <hyperlink r:id="rId28" ref="A49"/>
    <hyperlink r:id="rId29" ref="A50"/>
    <hyperlink r:id="rId30" ref="A51"/>
    <hyperlink r:id="rId31" ref="A52"/>
    <hyperlink r:id="rId32" ref="A53"/>
  </hyperlinks>
  <drawing r:id="rId3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5"/>
    <col customWidth="1" min="2" max="6" width="1.38"/>
    <col customWidth="1" min="7" max="10" width="5.75"/>
    <col customWidth="1" min="11" max="11" width="4.75"/>
    <col customWidth="1" min="12" max="18" width="5.75"/>
    <col customWidth="1" min="19" max="19" width="6.13"/>
    <col customWidth="1" min="20" max="20" width="6.25"/>
    <col customWidth="1" min="21" max="21" width="6.0"/>
    <col customWidth="1" min="22" max="22" width="6.5"/>
    <col customWidth="1" min="23" max="23" width="5.13"/>
    <col customWidth="1" min="24" max="27" width="6.13"/>
    <col customWidth="1" min="28" max="28" width="6.88"/>
    <col customWidth="1" min="29" max="29" width="6.5"/>
    <col customWidth="1" min="30" max="30" width="7.13"/>
    <col customWidth="1" min="31" max="40" width="8.75"/>
  </cols>
  <sheetData>
    <row r="1" ht="12.75" customHeight="1">
      <c r="B1" s="197" t="s">
        <v>676</v>
      </c>
      <c r="C1" s="197" t="s">
        <v>677</v>
      </c>
      <c r="D1" s="197" t="s">
        <v>678</v>
      </c>
      <c r="E1" s="197" t="s">
        <v>679</v>
      </c>
      <c r="F1" s="197" t="s">
        <v>680</v>
      </c>
      <c r="G1" s="197" t="s">
        <v>681</v>
      </c>
      <c r="H1" s="197" t="s">
        <v>682</v>
      </c>
      <c r="I1" s="197" t="s">
        <v>683</v>
      </c>
      <c r="J1" s="197" t="s">
        <v>684</v>
      </c>
      <c r="K1" s="197" t="s">
        <v>685</v>
      </c>
      <c r="L1" s="198" t="s">
        <v>59</v>
      </c>
      <c r="M1" s="198" t="s">
        <v>88</v>
      </c>
      <c r="N1" s="198" t="s">
        <v>686</v>
      </c>
      <c r="O1" s="198" t="s">
        <v>687</v>
      </c>
      <c r="P1" s="198" t="s">
        <v>44</v>
      </c>
      <c r="Q1" s="198" t="s">
        <v>688</v>
      </c>
      <c r="R1" s="198" t="s">
        <v>689</v>
      </c>
      <c r="S1" s="199" t="s">
        <v>676</v>
      </c>
      <c r="T1" s="199" t="s">
        <v>677</v>
      </c>
      <c r="U1" s="199" t="s">
        <v>678</v>
      </c>
      <c r="V1" s="199" t="s">
        <v>679</v>
      </c>
      <c r="W1" s="199" t="s">
        <v>680</v>
      </c>
      <c r="X1" s="199" t="s">
        <v>681</v>
      </c>
      <c r="Y1" s="199" t="s">
        <v>682</v>
      </c>
      <c r="Z1" s="199" t="s">
        <v>683</v>
      </c>
      <c r="AA1" s="199" t="s">
        <v>684</v>
      </c>
      <c r="AB1" s="199" t="s">
        <v>685</v>
      </c>
      <c r="AC1" s="200" t="s">
        <v>59</v>
      </c>
      <c r="AD1" s="200" t="s">
        <v>88</v>
      </c>
      <c r="AE1" s="200" t="s">
        <v>686</v>
      </c>
      <c r="AF1" s="200" t="s">
        <v>687</v>
      </c>
      <c r="AG1" s="200" t="s">
        <v>44</v>
      </c>
      <c r="AH1" s="200" t="s">
        <v>688</v>
      </c>
      <c r="AI1" s="200" t="s">
        <v>689</v>
      </c>
      <c r="AJ1" s="1" t="s">
        <v>48</v>
      </c>
      <c r="AK1" s="1" t="s">
        <v>690</v>
      </c>
    </row>
    <row r="2" ht="12.75" customHeight="1">
      <c r="A2" s="7">
        <v>44228.0</v>
      </c>
      <c r="B2" s="8">
        <v>20.0</v>
      </c>
      <c r="C2" s="8">
        <v>47.0</v>
      </c>
      <c r="D2" s="8">
        <v>9.0</v>
      </c>
      <c r="E2" s="8">
        <v>9.0</v>
      </c>
      <c r="F2" s="8">
        <v>44.0</v>
      </c>
      <c r="S2" s="13">
        <f>(14*40.42+5*40.395+1*40.4)/(14+5+1)</f>
        <v>40.41275</v>
      </c>
      <c r="T2" s="13">
        <f>(21*16.575+25*16.575+1*16.575)/47</f>
        <v>16.575</v>
      </c>
      <c r="U2" s="13">
        <v>79.905</v>
      </c>
      <c r="V2" s="13">
        <v>82.33</v>
      </c>
      <c r="W2" s="13">
        <v>17.815</v>
      </c>
      <c r="X2" s="13"/>
      <c r="Y2" s="13"/>
      <c r="Z2" s="13"/>
      <c r="AA2" s="13"/>
      <c r="AB2" s="13"/>
      <c r="AC2" s="9"/>
      <c r="AD2" s="9"/>
      <c r="AE2" s="9"/>
      <c r="AF2" s="9"/>
      <c r="AG2" s="9"/>
      <c r="AH2" s="9"/>
      <c r="AI2" s="9"/>
      <c r="AJ2" s="9">
        <f t="shared" ref="AJ2:AJ5" si="1">SUMPRODUCT(B2:F2,S2:W2)</f>
        <v>3831.255</v>
      </c>
      <c r="AK2" s="13"/>
    </row>
    <row r="3" ht="12.75" customHeight="1">
      <c r="B3" s="8">
        <v>14.0</v>
      </c>
      <c r="C3" s="8">
        <v>30.0</v>
      </c>
      <c r="D3" s="8">
        <v>10.0</v>
      </c>
      <c r="E3" s="8">
        <v>9.0</v>
      </c>
      <c r="F3" s="8">
        <v>30.0</v>
      </c>
      <c r="S3" s="13">
        <v>49.595</v>
      </c>
      <c r="T3" s="13">
        <v>21.765</v>
      </c>
      <c r="U3" s="13">
        <v>90.5</v>
      </c>
      <c r="V3" s="13">
        <v>97.63</v>
      </c>
      <c r="W3" s="13">
        <v>23.535</v>
      </c>
      <c r="X3" s="13"/>
      <c r="Y3" s="13"/>
      <c r="Z3" s="13"/>
      <c r="AA3" s="13"/>
      <c r="AB3" s="13"/>
      <c r="AC3" s="9"/>
      <c r="AD3" s="9"/>
      <c r="AE3" s="9"/>
      <c r="AF3" s="9"/>
      <c r="AG3" s="9"/>
      <c r="AH3" s="9"/>
      <c r="AI3" s="9"/>
      <c r="AJ3" s="9">
        <f t="shared" si="1"/>
        <v>3837</v>
      </c>
      <c r="AK3" s="13"/>
    </row>
    <row r="4" ht="12.75" customHeight="1">
      <c r="A4" s="7">
        <v>44292.0</v>
      </c>
      <c r="B4" s="8">
        <v>17.0</v>
      </c>
      <c r="C4" s="8">
        <v>18.0</v>
      </c>
      <c r="D4" s="8">
        <v>4.0</v>
      </c>
      <c r="E4" s="8">
        <v>3.0</v>
      </c>
      <c r="F4" s="8">
        <v>15.0</v>
      </c>
      <c r="S4" s="13">
        <v>40.91</v>
      </c>
      <c r="T4" s="13">
        <v>21.65</v>
      </c>
      <c r="U4" s="13">
        <v>97.435</v>
      </c>
      <c r="V4" s="13">
        <v>98.57</v>
      </c>
      <c r="W4" s="13">
        <v>23.255</v>
      </c>
      <c r="X4" s="13"/>
      <c r="Y4" s="13"/>
      <c r="Z4" s="13"/>
      <c r="AA4" s="13"/>
      <c r="AB4" s="13"/>
      <c r="AC4" s="9"/>
      <c r="AD4" s="9"/>
      <c r="AE4" s="9"/>
      <c r="AF4" s="9"/>
      <c r="AG4" s="9"/>
      <c r="AH4" s="9"/>
      <c r="AI4" s="9"/>
      <c r="AJ4" s="9">
        <f t="shared" si="1"/>
        <v>2119.445</v>
      </c>
      <c r="AK4" s="13"/>
    </row>
    <row r="5" ht="12.75" customHeight="1">
      <c r="A5" s="7">
        <v>44319.0</v>
      </c>
      <c r="B5" s="8">
        <v>4.0</v>
      </c>
      <c r="C5" s="8">
        <v>42.0</v>
      </c>
      <c r="D5" s="8">
        <v>6.0</v>
      </c>
      <c r="E5" s="8">
        <v>6.0</v>
      </c>
      <c r="F5" s="8">
        <v>40.0</v>
      </c>
      <c r="S5" s="13">
        <v>57.45</v>
      </c>
      <c r="T5" s="13">
        <v>22.885</v>
      </c>
      <c r="U5" s="13">
        <f>(5*106.625+1*106.625)/6</f>
        <v>106.625</v>
      </c>
      <c r="V5" s="13">
        <v>115.39</v>
      </c>
      <c r="W5" s="13">
        <v>24.205</v>
      </c>
      <c r="X5" s="13"/>
      <c r="Y5" s="13"/>
      <c r="Z5" s="13"/>
      <c r="AA5" s="13"/>
      <c r="AB5" s="13"/>
      <c r="AC5" s="9"/>
      <c r="AD5" s="9"/>
      <c r="AE5" s="9"/>
      <c r="AF5" s="9"/>
      <c r="AG5" s="9"/>
      <c r="AH5" s="9"/>
      <c r="AI5" s="9"/>
      <c r="AJ5" s="9">
        <f t="shared" si="1"/>
        <v>3491.26</v>
      </c>
      <c r="AK5" s="13"/>
    </row>
    <row r="6" ht="12.75" customHeight="1">
      <c r="A6" s="7">
        <v>44348.0</v>
      </c>
      <c r="B6" s="8">
        <v>-55.0</v>
      </c>
      <c r="C6" s="8">
        <v>-137.0</v>
      </c>
      <c r="F6" s="8">
        <v>-129.0</v>
      </c>
      <c r="S6" s="13">
        <v>74.205</v>
      </c>
      <c r="T6" s="13">
        <v>21.145</v>
      </c>
      <c r="U6" s="13">
        <v>117.55</v>
      </c>
      <c r="V6" s="13">
        <v>120.56</v>
      </c>
      <c r="W6" s="13">
        <v>22.94</v>
      </c>
      <c r="X6" s="13"/>
      <c r="Y6" s="13"/>
      <c r="Z6" s="13"/>
      <c r="AA6" s="13"/>
      <c r="AB6" s="13"/>
      <c r="AC6" s="9"/>
      <c r="AD6" s="9"/>
      <c r="AE6" s="9"/>
      <c r="AF6" s="9"/>
      <c r="AG6" s="9"/>
      <c r="AH6" s="9"/>
      <c r="AI6" s="9"/>
      <c r="AJ6" s="9"/>
      <c r="AK6" s="13">
        <f>SUMPRODUCT(B6:F6,S6:W6)</f>
        <v>-9937.4</v>
      </c>
    </row>
    <row r="7" ht="12.75" customHeight="1">
      <c r="A7" s="7">
        <v>44348.0</v>
      </c>
      <c r="G7" s="8">
        <v>24.0</v>
      </c>
      <c r="H7" s="8">
        <v>22.0</v>
      </c>
      <c r="I7" s="16">
        <v>111.0</v>
      </c>
      <c r="S7" s="13"/>
      <c r="T7" s="13"/>
      <c r="U7" s="13"/>
      <c r="V7" s="13"/>
      <c r="W7" s="13"/>
      <c r="X7" s="13">
        <v>132.09500000000003</v>
      </c>
      <c r="Y7" s="13">
        <v>146.91</v>
      </c>
      <c r="Z7" s="13">
        <v>29.695</v>
      </c>
      <c r="AA7" s="13"/>
      <c r="AB7" s="13"/>
      <c r="AC7" s="9"/>
      <c r="AD7" s="9"/>
      <c r="AE7" s="9"/>
      <c r="AF7" s="9"/>
      <c r="AG7" s="9"/>
      <c r="AH7" s="9"/>
      <c r="AI7" s="9"/>
      <c r="AJ7" s="9">
        <f t="shared" ref="AJ7:AJ8" si="2">SUMPRODUCT(B7:I7,S7:Z7)</f>
        <v>9698.445</v>
      </c>
      <c r="AK7" s="13"/>
    </row>
    <row r="8" ht="12.75" customHeight="1">
      <c r="A8" s="7">
        <v>44397.0</v>
      </c>
      <c r="D8" s="8">
        <v>6.0</v>
      </c>
      <c r="E8" s="8">
        <v>2.0</v>
      </c>
      <c r="G8" s="8">
        <v>6.0</v>
      </c>
      <c r="H8" s="8">
        <v>5.0</v>
      </c>
      <c r="I8" s="16">
        <v>30.0</v>
      </c>
      <c r="S8" s="13"/>
      <c r="T8" s="13"/>
      <c r="U8" s="13">
        <v>98.12</v>
      </c>
      <c r="V8" s="13">
        <v>117.85</v>
      </c>
      <c r="W8" s="13"/>
      <c r="X8" s="13">
        <v>114.495</v>
      </c>
      <c r="Y8" s="13">
        <v>127.585</v>
      </c>
      <c r="Z8" s="13">
        <v>24.96</v>
      </c>
      <c r="AA8" s="13"/>
      <c r="AB8" s="13"/>
      <c r="AC8" s="9"/>
      <c r="AD8" s="9"/>
      <c r="AE8" s="9"/>
      <c r="AF8" s="9"/>
      <c r="AG8" s="9"/>
      <c r="AH8" s="9"/>
      <c r="AI8" s="9"/>
      <c r="AJ8" s="9">
        <f t="shared" si="2"/>
        <v>2898.115</v>
      </c>
      <c r="AK8" s="13"/>
    </row>
    <row r="9" ht="12.75" customHeight="1">
      <c r="A9" s="7">
        <v>44426.0</v>
      </c>
      <c r="D9" s="8">
        <v>-35.0</v>
      </c>
      <c r="E9" s="8">
        <v>-29.0</v>
      </c>
      <c r="S9" s="13"/>
      <c r="T9" s="13"/>
      <c r="U9" s="13">
        <v>90.66</v>
      </c>
      <c r="V9" s="13">
        <v>131.43</v>
      </c>
      <c r="W9" s="13"/>
      <c r="X9" s="13">
        <v>114.89</v>
      </c>
      <c r="Y9" s="13"/>
      <c r="Z9" s="13">
        <v>26.94</v>
      </c>
      <c r="AA9" s="13"/>
      <c r="AB9" s="13"/>
      <c r="AC9" s="9"/>
      <c r="AD9" s="9"/>
      <c r="AE9" s="9"/>
      <c r="AF9" s="9"/>
      <c r="AG9" s="9"/>
      <c r="AH9" s="9"/>
      <c r="AI9" s="9"/>
      <c r="AJ9" s="9"/>
      <c r="AK9" s="13">
        <f>SUMPRODUCT(B9:F9,S9:W9)</f>
        <v>-6984.57</v>
      </c>
    </row>
    <row r="10" ht="12.75" customHeight="1">
      <c r="A10" s="7">
        <v>44431.0</v>
      </c>
      <c r="J10" s="8">
        <v>10.0</v>
      </c>
      <c r="K10" s="8">
        <v>10.0</v>
      </c>
      <c r="S10" s="13"/>
      <c r="T10" s="13"/>
      <c r="U10" s="13"/>
      <c r="V10" s="13"/>
      <c r="W10" s="13"/>
      <c r="X10" s="13"/>
      <c r="Y10" s="13"/>
      <c r="Z10" s="13"/>
      <c r="AA10" s="13">
        <v>112.215</v>
      </c>
      <c r="AB10" s="13">
        <v>121.85</v>
      </c>
      <c r="AC10" s="9"/>
      <c r="AD10" s="9"/>
      <c r="AE10" s="9"/>
      <c r="AF10" s="9"/>
      <c r="AG10" s="9"/>
      <c r="AH10" s="9"/>
      <c r="AI10" s="9"/>
      <c r="AJ10" s="9">
        <f t="shared" ref="AJ10:AJ12" si="3">SUMPRODUCT(B10:K10,S10:AB10)</f>
        <v>2340.65</v>
      </c>
      <c r="AK10" s="13"/>
    </row>
    <row r="11" ht="12.75" customHeight="1">
      <c r="A11" s="15">
        <v>44447.0</v>
      </c>
      <c r="J11" s="16">
        <v>10.0</v>
      </c>
      <c r="K11" s="16">
        <v>10.0</v>
      </c>
      <c r="L11" s="16"/>
      <c r="M11" s="16"/>
      <c r="N11" s="16"/>
      <c r="O11" s="16"/>
      <c r="P11" s="16"/>
      <c r="Q11" s="16"/>
      <c r="R11" s="16"/>
      <c r="S11" s="13"/>
      <c r="T11" s="13"/>
      <c r="U11" s="13"/>
      <c r="V11" s="13"/>
      <c r="W11" s="13"/>
      <c r="X11" s="13"/>
      <c r="Y11" s="13"/>
      <c r="Z11" s="13"/>
      <c r="AA11" s="19">
        <v>140.74</v>
      </c>
      <c r="AB11" s="19">
        <v>128.415</v>
      </c>
      <c r="AC11" s="13"/>
      <c r="AD11" s="13"/>
      <c r="AE11" s="13"/>
      <c r="AF11" s="13"/>
      <c r="AG11" s="13"/>
      <c r="AH11" s="13"/>
      <c r="AI11" s="13"/>
      <c r="AJ11" s="9">
        <f t="shared" si="3"/>
        <v>2691.55</v>
      </c>
      <c r="AK11" s="13"/>
    </row>
    <row r="12" ht="12.75" customHeight="1">
      <c r="A12" s="20">
        <v>44474.0</v>
      </c>
      <c r="G12" s="16">
        <v>19.0</v>
      </c>
      <c r="H12" s="16">
        <v>8.0</v>
      </c>
      <c r="J12" s="16">
        <v>21.0</v>
      </c>
      <c r="K12" s="16">
        <v>25.0</v>
      </c>
      <c r="L12" s="16"/>
      <c r="M12" s="16"/>
      <c r="N12" s="16"/>
      <c r="O12" s="16"/>
      <c r="P12" s="16"/>
      <c r="Q12" s="16"/>
      <c r="R12" s="16"/>
      <c r="S12" s="13"/>
      <c r="T12" s="13"/>
      <c r="U12" s="13"/>
      <c r="V12" s="13"/>
      <c r="W12" s="13"/>
      <c r="X12" s="19">
        <f>(8*106.715+4*106.71+4*106.725+3*106.505)/19</f>
        <v>106.6828947</v>
      </c>
      <c r="Y12" s="19">
        <v>144.265</v>
      </c>
      <c r="Z12" s="19"/>
      <c r="AA12" s="19">
        <v>123.23</v>
      </c>
      <c r="AB12" s="19">
        <f>(5*114.56+20*114.63)/25</f>
        <v>114.616</v>
      </c>
      <c r="AC12" s="9"/>
      <c r="AD12" s="9"/>
      <c r="AE12" s="9"/>
      <c r="AF12" s="9"/>
      <c r="AG12" s="9"/>
      <c r="AH12" s="9"/>
      <c r="AI12" s="9"/>
      <c r="AJ12" s="9">
        <f t="shared" si="3"/>
        <v>8634.325</v>
      </c>
      <c r="AK12" s="13"/>
    </row>
    <row r="13" ht="12.75" customHeight="1">
      <c r="A13" s="20">
        <v>44474.0</v>
      </c>
      <c r="I13" s="16">
        <v>-141.0</v>
      </c>
      <c r="S13" s="13"/>
      <c r="T13" s="13"/>
      <c r="U13" s="13"/>
      <c r="V13" s="13"/>
      <c r="W13" s="13"/>
      <c r="X13" s="13"/>
      <c r="Y13" s="13"/>
      <c r="Z13" s="19">
        <v>39.225</v>
      </c>
      <c r="AA13" s="13"/>
      <c r="AB13" s="13"/>
      <c r="AC13" s="19"/>
      <c r="AD13" s="19">
        <v>470.01</v>
      </c>
      <c r="AE13" s="19"/>
      <c r="AF13" s="19"/>
      <c r="AG13" s="19"/>
      <c r="AH13" s="19"/>
      <c r="AI13" s="19"/>
      <c r="AJ13" s="9"/>
      <c r="AK13" s="13">
        <f>Z13*I13</f>
        <v>-5530.725</v>
      </c>
    </row>
    <row r="14" ht="12.75" customHeight="1">
      <c r="A14" s="20">
        <v>44474.0</v>
      </c>
      <c r="L14" s="16">
        <v>19.0</v>
      </c>
      <c r="M14" s="16">
        <v>6.0</v>
      </c>
      <c r="N14" s="16"/>
      <c r="O14" s="16"/>
      <c r="P14" s="16"/>
      <c r="Q14" s="16"/>
      <c r="R14" s="16"/>
      <c r="S14" s="13"/>
      <c r="T14" s="13"/>
      <c r="U14" s="13"/>
      <c r="V14" s="13"/>
      <c r="W14" s="13"/>
      <c r="X14" s="13"/>
      <c r="Y14" s="13"/>
      <c r="Z14" s="19">
        <v>39.225</v>
      </c>
      <c r="AA14" s="13"/>
      <c r="AB14" s="13"/>
      <c r="AC14" s="19">
        <v>138.075</v>
      </c>
      <c r="AD14" s="19">
        <v>470.01</v>
      </c>
      <c r="AE14" s="19"/>
      <c r="AF14" s="19"/>
      <c r="AG14" s="19"/>
      <c r="AH14" s="19"/>
      <c r="AI14" s="19"/>
      <c r="AJ14" s="9">
        <f t="shared" ref="AJ14:AJ17" si="4">SUMPRODUCT(B14:M14,S14:AD14)</f>
        <v>5443.485</v>
      </c>
      <c r="AK14" s="13"/>
    </row>
    <row r="15" ht="12.75" customHeight="1">
      <c r="A15" s="20">
        <v>44491.0</v>
      </c>
      <c r="L15" s="16">
        <v>19.0</v>
      </c>
      <c r="M15" s="16">
        <v>4.0</v>
      </c>
      <c r="N15" s="16"/>
      <c r="O15" s="16"/>
      <c r="P15" s="16"/>
      <c r="Q15" s="16"/>
      <c r="R15" s="16"/>
      <c r="S15" s="13"/>
      <c r="T15" s="13"/>
      <c r="U15" s="13"/>
      <c r="V15" s="13"/>
      <c r="W15" s="13"/>
      <c r="X15" s="13"/>
      <c r="Y15" s="13"/>
      <c r="Z15" s="13"/>
      <c r="AA15" s="13"/>
      <c r="AB15" s="13"/>
      <c r="AC15" s="19">
        <v>153.825</v>
      </c>
      <c r="AD15" s="19">
        <v>522.26</v>
      </c>
      <c r="AE15" s="19"/>
      <c r="AF15" s="19"/>
      <c r="AG15" s="19"/>
      <c r="AH15" s="19"/>
      <c r="AI15" s="19"/>
      <c r="AJ15" s="9">
        <f t="shared" si="4"/>
        <v>5011.715</v>
      </c>
      <c r="AK15" s="13"/>
    </row>
    <row r="16" ht="12.75" customHeight="1">
      <c r="A16" s="15">
        <v>44503.0</v>
      </c>
      <c r="G16" s="16">
        <v>8.0</v>
      </c>
      <c r="H16" s="16">
        <v>7.0</v>
      </c>
      <c r="J16" s="16">
        <v>8.0</v>
      </c>
      <c r="K16" s="16">
        <v>3.0</v>
      </c>
      <c r="L16" s="16">
        <v>0.0</v>
      </c>
      <c r="M16" s="16">
        <v>2.0</v>
      </c>
      <c r="N16" s="16"/>
      <c r="O16" s="16"/>
      <c r="P16" s="16"/>
      <c r="Q16" s="16"/>
      <c r="R16" s="16"/>
      <c r="S16" s="13"/>
      <c r="T16" s="13"/>
      <c r="U16" s="13"/>
      <c r="V16" s="13"/>
      <c r="W16" s="13"/>
      <c r="X16" s="19">
        <f>(112.015*7+111.98)/8</f>
        <v>112.010625</v>
      </c>
      <c r="Y16" s="19">
        <f>(153.895*6+153.96)/7</f>
        <v>153.9042857</v>
      </c>
      <c r="Z16" s="13"/>
      <c r="AA16" s="19">
        <v>131.245</v>
      </c>
      <c r="AB16" s="19">
        <v>132.795</v>
      </c>
      <c r="AC16" s="19"/>
      <c r="AD16" s="19">
        <v>538.385</v>
      </c>
      <c r="AE16" s="19"/>
      <c r="AF16" s="19"/>
      <c r="AG16" s="19"/>
      <c r="AH16" s="19"/>
      <c r="AI16" s="19"/>
      <c r="AJ16" s="9">
        <f t="shared" si="4"/>
        <v>4498.53</v>
      </c>
      <c r="AK16" s="13"/>
    </row>
    <row r="17" ht="12.75" customHeight="1">
      <c r="A17" s="20">
        <v>44524.0</v>
      </c>
      <c r="H17" s="16">
        <v>2.0</v>
      </c>
      <c r="J17" s="16">
        <v>2.0</v>
      </c>
      <c r="K17" s="16">
        <v>1.0</v>
      </c>
      <c r="X17" s="16">
        <v>116.26</v>
      </c>
      <c r="Y17" s="16">
        <v>147.92</v>
      </c>
      <c r="AA17" s="16">
        <v>126.69</v>
      </c>
      <c r="AB17" s="16">
        <v>134.515</v>
      </c>
      <c r="AD17" s="16">
        <v>548.97</v>
      </c>
      <c r="AE17" s="16"/>
      <c r="AF17" s="16"/>
      <c r="AG17" s="16"/>
      <c r="AH17" s="16"/>
      <c r="AI17" s="16"/>
      <c r="AJ17" s="9">
        <f t="shared" si="4"/>
        <v>683.735</v>
      </c>
    </row>
    <row r="18" ht="12.75" customHeight="1">
      <c r="A18" s="20">
        <v>44543.0</v>
      </c>
      <c r="G18" s="16">
        <v>-2.0</v>
      </c>
      <c r="K18" s="16">
        <v>-7.0</v>
      </c>
      <c r="U18" s="16"/>
      <c r="X18" s="16">
        <v>110.44</v>
      </c>
      <c r="AB18" s="16">
        <v>143.01</v>
      </c>
      <c r="AK18" s="13">
        <f>G18*X18+K18*AB18</f>
        <v>-1221.95</v>
      </c>
    </row>
    <row r="19" ht="12.75" customHeight="1">
      <c r="A19" s="20">
        <v>44543.0</v>
      </c>
      <c r="H19" s="16">
        <v>2.0</v>
      </c>
      <c r="J19" s="16">
        <v>7.0</v>
      </c>
      <c r="U19" s="16"/>
      <c r="Y19" s="16">
        <v>132.74</v>
      </c>
      <c r="AA19" s="16">
        <v>104.55</v>
      </c>
      <c r="AJ19" s="9">
        <f>SUMPRODUCT(B19:M19,S19:AD19)</f>
        <v>997.33</v>
      </c>
    </row>
    <row r="20" ht="12.75" customHeight="1">
      <c r="A20" s="15">
        <v>44592.0</v>
      </c>
      <c r="K20" s="16">
        <v>-42.0</v>
      </c>
      <c r="U20" s="16"/>
      <c r="AB20" s="16">
        <v>134.0</v>
      </c>
      <c r="AK20" s="13">
        <f>G20*X20+K20*AB20</f>
        <v>-5628</v>
      </c>
    </row>
    <row r="21" ht="12.75" customHeight="1">
      <c r="A21" s="20">
        <v>44594.0</v>
      </c>
      <c r="N21" s="16">
        <v>13.0</v>
      </c>
      <c r="O21" s="16">
        <v>50.0</v>
      </c>
      <c r="P21" s="16">
        <v>27.0</v>
      </c>
      <c r="Q21" s="16">
        <v>31.0</v>
      </c>
      <c r="R21" s="16">
        <v>30.0</v>
      </c>
      <c r="U21" s="16"/>
      <c r="AE21" s="16">
        <v>221.2</v>
      </c>
      <c r="AF21" s="16">
        <v>58.975</v>
      </c>
      <c r="AG21" s="16">
        <v>108.775</v>
      </c>
      <c r="AH21" s="16">
        <v>95.05</v>
      </c>
      <c r="AI21" s="16">
        <v>98.84773</v>
      </c>
      <c r="AJ21" s="9">
        <f t="shared" ref="AJ21:AJ23" si="5">SUMPRODUCT(B21:R21,S21:AI21)</f>
        <v>14673.2569</v>
      </c>
    </row>
    <row r="22" ht="12.75" customHeight="1">
      <c r="A22" s="15">
        <v>44614.0</v>
      </c>
      <c r="L22" s="16">
        <v>30.0</v>
      </c>
      <c r="U22" s="16"/>
      <c r="AC22" s="16">
        <v>80.39</v>
      </c>
      <c r="AJ22" s="9">
        <f t="shared" si="5"/>
        <v>2411.7</v>
      </c>
    </row>
    <row r="23" ht="12.75" customHeight="1">
      <c r="A23" s="15">
        <v>44615.0</v>
      </c>
      <c r="L23" s="16">
        <v>32.0</v>
      </c>
      <c r="U23" s="16"/>
      <c r="AC23" s="16">
        <v>81.175</v>
      </c>
      <c r="AJ23" s="9">
        <f t="shared" si="5"/>
        <v>2597.6</v>
      </c>
    </row>
    <row r="24" ht="12.75" customHeight="1">
      <c r="A24" s="15">
        <v>44785.0</v>
      </c>
      <c r="M24" s="16">
        <v>-12.0</v>
      </c>
      <c r="U24" s="16"/>
      <c r="AD24" s="16">
        <v>528.65</v>
      </c>
      <c r="AK24" s="13">
        <f>AD24*M24</f>
        <v>-6343.8</v>
      </c>
    </row>
    <row r="25" ht="12.75" customHeight="1">
      <c r="A25" s="15">
        <v>44802.0</v>
      </c>
      <c r="N25" s="16">
        <v>-13.0</v>
      </c>
      <c r="O25" s="16">
        <v>-50.0</v>
      </c>
      <c r="P25" s="16">
        <v>-27.0</v>
      </c>
      <c r="Q25" s="16">
        <v>-31.0</v>
      </c>
      <c r="R25" s="16">
        <v>-30.0</v>
      </c>
      <c r="U25" s="16"/>
      <c r="AE25" s="16">
        <v>265.15</v>
      </c>
      <c r="AF25" s="16">
        <v>56.28</v>
      </c>
      <c r="AG25" s="16">
        <v>100.77</v>
      </c>
      <c r="AH25" s="16">
        <v>81.44</v>
      </c>
      <c r="AI25" s="16">
        <v>85.42</v>
      </c>
      <c r="AJ25" s="9"/>
      <c r="AK25" s="13">
        <f t="shared" ref="AK25:AK29" si="6">SUMPRODUCT(B25:R25,S25:AI25)</f>
        <v>-14068.98</v>
      </c>
    </row>
    <row r="26" ht="12.75" customHeight="1">
      <c r="A26" s="15">
        <v>44958.0</v>
      </c>
      <c r="J26" s="16">
        <v>-58.0</v>
      </c>
      <c r="U26" s="16"/>
      <c r="AA26" s="16">
        <v>134.15</v>
      </c>
      <c r="AK26" s="13">
        <f t="shared" si="6"/>
        <v>-7780.7</v>
      </c>
    </row>
    <row r="27" ht="12.75" customHeight="1">
      <c r="A27" s="15">
        <v>44975.0</v>
      </c>
      <c r="L27" s="16">
        <v>-100.0</v>
      </c>
      <c r="U27" s="16"/>
      <c r="X27" s="16">
        <v>91.15</v>
      </c>
      <c r="Y27" s="16">
        <v>130.74</v>
      </c>
      <c r="AC27" s="16">
        <v>130.0</v>
      </c>
      <c r="AK27" s="13">
        <f t="shared" si="6"/>
        <v>-13000</v>
      </c>
    </row>
    <row r="28" ht="12.75" customHeight="1">
      <c r="A28" s="20">
        <v>45286.0</v>
      </c>
      <c r="H28" s="16">
        <v>-46.0</v>
      </c>
      <c r="T28" s="16"/>
      <c r="U28" s="16"/>
      <c r="Y28" s="16">
        <v>171.07</v>
      </c>
      <c r="AK28" s="13">
        <f t="shared" si="6"/>
        <v>-7869.22</v>
      </c>
    </row>
    <row r="29" ht="12.75" customHeight="1">
      <c r="A29" s="20">
        <v>45425.0</v>
      </c>
      <c r="G29" s="16">
        <v>-55.0</v>
      </c>
      <c r="H29" s="16"/>
      <c r="T29" s="16"/>
      <c r="U29" s="16"/>
      <c r="X29" s="16">
        <v>121.715</v>
      </c>
      <c r="Y29" s="16"/>
      <c r="AK29" s="13">
        <f t="shared" si="6"/>
        <v>-6694.325</v>
      </c>
    </row>
    <row r="30" ht="12.75" customHeight="1">
      <c r="S30" s="8" t="s">
        <v>691</v>
      </c>
      <c r="T30" s="16" t="s">
        <v>692</v>
      </c>
      <c r="U30" s="16" t="s">
        <v>693</v>
      </c>
      <c r="V30" s="8" t="s">
        <v>694</v>
      </c>
      <c r="X30" s="8" t="s">
        <v>695</v>
      </c>
      <c r="Y30" s="16" t="s">
        <v>696</v>
      </c>
    </row>
    <row r="31" ht="12.75" customHeight="1">
      <c r="A31" s="8" t="s">
        <v>32</v>
      </c>
      <c r="B31" s="8">
        <f t="shared" ref="B31:F31" si="7">SUM(B2:B17)</f>
        <v>0</v>
      </c>
      <c r="C31" s="8">
        <f t="shared" si="7"/>
        <v>0</v>
      </c>
      <c r="D31" s="8">
        <f t="shared" si="7"/>
        <v>0</v>
      </c>
      <c r="E31" s="8">
        <f t="shared" si="7"/>
        <v>0</v>
      </c>
      <c r="F31" s="8">
        <f t="shared" si="7"/>
        <v>0</v>
      </c>
      <c r="G31" s="8">
        <f t="shared" ref="G31:R31" si="8">SUM(G2:G30)</f>
        <v>0</v>
      </c>
      <c r="H31" s="8">
        <f t="shared" si="8"/>
        <v>0</v>
      </c>
      <c r="I31" s="8">
        <f t="shared" si="8"/>
        <v>0</v>
      </c>
      <c r="J31" s="8">
        <f t="shared" si="8"/>
        <v>0</v>
      </c>
      <c r="K31" s="8">
        <f t="shared" si="8"/>
        <v>0</v>
      </c>
      <c r="L31" s="8">
        <f t="shared" si="8"/>
        <v>0</v>
      </c>
      <c r="M31" s="8">
        <f t="shared" si="8"/>
        <v>0</v>
      </c>
      <c r="N31" s="8">
        <f t="shared" si="8"/>
        <v>0</v>
      </c>
      <c r="O31" s="8">
        <f t="shared" si="8"/>
        <v>0</v>
      </c>
      <c r="P31" s="8">
        <f t="shared" si="8"/>
        <v>0</v>
      </c>
      <c r="Q31" s="8">
        <f t="shared" si="8"/>
        <v>0</v>
      </c>
      <c r="R31" s="8">
        <f t="shared" si="8"/>
        <v>0</v>
      </c>
    </row>
    <row r="32" ht="12.75" customHeight="1">
      <c r="A32" s="8" t="s">
        <v>697</v>
      </c>
      <c r="B32" s="8">
        <f t="shared" ref="B32:F32" si="9">B31*S17</f>
        <v>0</v>
      </c>
      <c r="C32" s="8">
        <f t="shared" si="9"/>
        <v>0</v>
      </c>
      <c r="D32" s="8">
        <f t="shared" si="9"/>
        <v>0</v>
      </c>
      <c r="E32" s="8">
        <f t="shared" si="9"/>
        <v>0</v>
      </c>
      <c r="F32" s="8">
        <f t="shared" si="9"/>
        <v>0</v>
      </c>
      <c r="G32" s="8">
        <f t="shared" ref="G32:R32" si="10">G31*X27</f>
        <v>0</v>
      </c>
      <c r="H32" s="8">
        <f t="shared" si="10"/>
        <v>0</v>
      </c>
      <c r="I32" s="8">
        <f t="shared" si="10"/>
        <v>0</v>
      </c>
      <c r="J32" s="8">
        <f t="shared" si="10"/>
        <v>0</v>
      </c>
      <c r="K32" s="8">
        <f t="shared" si="10"/>
        <v>0</v>
      </c>
      <c r="L32" s="8">
        <f t="shared" si="10"/>
        <v>0</v>
      </c>
      <c r="M32" s="8">
        <f t="shared" si="10"/>
        <v>0</v>
      </c>
      <c r="N32" s="8">
        <f t="shared" si="10"/>
        <v>0</v>
      </c>
      <c r="O32" s="8">
        <f t="shared" si="10"/>
        <v>0</v>
      </c>
      <c r="P32" s="8">
        <f t="shared" si="10"/>
        <v>0</v>
      </c>
      <c r="Q32" s="8">
        <f t="shared" si="10"/>
        <v>0</v>
      </c>
      <c r="R32" s="8">
        <f t="shared" si="10"/>
        <v>0</v>
      </c>
      <c r="S32" s="27">
        <f>sum(B32:R32)</f>
        <v>0</v>
      </c>
      <c r="T32" s="27">
        <f>SUM(AJ2:AJ27)-S32</f>
        <v>75859.3969</v>
      </c>
      <c r="U32" s="13">
        <f>sum(AK2:AK27)</f>
        <v>-70496.125</v>
      </c>
      <c r="V32" s="201">
        <f>(MAX(A2:A30)-MIN(A2:A30))/30.4167</f>
        <v>39.35338153</v>
      </c>
      <c r="X32" s="202">
        <f>(((-U32)/T32)^(1/(V32)))^12-1</f>
        <v>-0.02211048885</v>
      </c>
      <c r="Y32" s="59">
        <f>-(T32+U32)</f>
        <v>-5363.2719</v>
      </c>
    </row>
    <row r="33" ht="12.75" customHeight="1">
      <c r="A33" s="8" t="s">
        <v>698</v>
      </c>
      <c r="B33" s="29" t="str">
        <f t="shared" ref="B33:S33" si="11">B32/$S$32</f>
        <v>#DIV/0!</v>
      </c>
      <c r="C33" s="29" t="str">
        <f t="shared" si="11"/>
        <v>#DIV/0!</v>
      </c>
      <c r="D33" s="29" t="str">
        <f t="shared" si="11"/>
        <v>#DIV/0!</v>
      </c>
      <c r="E33" s="29" t="str">
        <f t="shared" si="11"/>
        <v>#DIV/0!</v>
      </c>
      <c r="F33" s="29" t="str">
        <f t="shared" si="11"/>
        <v>#DIV/0!</v>
      </c>
      <c r="G33" s="29" t="str">
        <f t="shared" si="11"/>
        <v>#DIV/0!</v>
      </c>
      <c r="H33" s="29" t="str">
        <f t="shared" si="11"/>
        <v>#DIV/0!</v>
      </c>
      <c r="I33" s="29" t="str">
        <f t="shared" si="11"/>
        <v>#DIV/0!</v>
      </c>
      <c r="J33" s="29" t="str">
        <f t="shared" si="11"/>
        <v>#DIV/0!</v>
      </c>
      <c r="K33" s="29" t="str">
        <f t="shared" si="11"/>
        <v>#DIV/0!</v>
      </c>
      <c r="L33" s="29" t="str">
        <f t="shared" si="11"/>
        <v>#DIV/0!</v>
      </c>
      <c r="M33" s="29" t="str">
        <f t="shared" si="11"/>
        <v>#DIV/0!</v>
      </c>
      <c r="N33" s="29" t="str">
        <f t="shared" si="11"/>
        <v>#DIV/0!</v>
      </c>
      <c r="O33" s="29" t="str">
        <f t="shared" si="11"/>
        <v>#DIV/0!</v>
      </c>
      <c r="P33" s="29" t="str">
        <f t="shared" si="11"/>
        <v>#DIV/0!</v>
      </c>
      <c r="Q33" s="29" t="str">
        <f t="shared" si="11"/>
        <v>#DIV/0!</v>
      </c>
      <c r="R33" s="29" t="str">
        <f t="shared" si="11"/>
        <v>#DIV/0!</v>
      </c>
      <c r="S33" s="29" t="str">
        <f t="shared" si="11"/>
        <v>#DIV/0!</v>
      </c>
    </row>
    <row r="34" ht="12.75" customHeight="1">
      <c r="A34" s="8" t="s">
        <v>21</v>
      </c>
      <c r="B34" s="201" t="str">
        <f>100/countif(B32:M32,"&gt;0")</f>
        <v>#DIV/0!</v>
      </c>
      <c r="C34" s="201" t="str">
        <f t="shared" ref="C34:F34" si="12">B34</f>
        <v>#DIV/0!</v>
      </c>
      <c r="D34" s="201" t="str">
        <f t="shared" si="12"/>
        <v>#DIV/0!</v>
      </c>
      <c r="E34" s="201" t="str">
        <f t="shared" si="12"/>
        <v>#DIV/0!</v>
      </c>
      <c r="F34" s="201" t="str">
        <f t="shared" si="12"/>
        <v>#DIV/0!</v>
      </c>
      <c r="G34" s="201"/>
      <c r="H34" s="201"/>
      <c r="I34" s="201"/>
      <c r="J34" s="201"/>
      <c r="K34" s="201"/>
      <c r="L34" s="201"/>
      <c r="M34" s="31"/>
      <c r="N34" s="31">
        <v>0.2</v>
      </c>
      <c r="O34" s="31">
        <v>0.2</v>
      </c>
      <c r="P34" s="31">
        <v>0.2</v>
      </c>
      <c r="Q34" s="31">
        <v>0.2</v>
      </c>
      <c r="R34" s="31">
        <v>0.2</v>
      </c>
      <c r="T34" s="27"/>
      <c r="X34" s="120"/>
    </row>
    <row r="35" ht="12.75" customHeight="1">
      <c r="G35" s="16">
        <v>-867.0</v>
      </c>
    </row>
    <row r="36" ht="12.75" customHeight="1"/>
    <row r="37" ht="12.75" customHeight="1">
      <c r="M37" s="80" t="s">
        <v>681</v>
      </c>
      <c r="N37" s="80" t="s">
        <v>699</v>
      </c>
      <c r="O37" s="16" t="s">
        <v>81</v>
      </c>
      <c r="P37" s="87" t="s">
        <v>341</v>
      </c>
      <c r="Q37" s="87" t="s">
        <v>700</v>
      </c>
      <c r="R37" s="80" t="s">
        <v>79</v>
      </c>
    </row>
    <row r="38" ht="12.75" customHeight="1">
      <c r="M38" s="80">
        <v>55.1729</v>
      </c>
      <c r="N38" s="80">
        <v>24.0</v>
      </c>
      <c r="O38" s="16">
        <v>7.0</v>
      </c>
      <c r="P38" s="87">
        <v>44.0</v>
      </c>
      <c r="Q38" s="87">
        <v>44.0</v>
      </c>
      <c r="R38" s="80">
        <v>11.0</v>
      </c>
    </row>
    <row r="39" ht="12.75" customHeight="1">
      <c r="M39" s="80">
        <v>121.7</v>
      </c>
      <c r="N39" s="80">
        <v>128.86</v>
      </c>
      <c r="O39" s="16">
        <v>417.8</v>
      </c>
      <c r="P39" s="87">
        <v>70.28</v>
      </c>
      <c r="Q39" s="87">
        <v>69.538</v>
      </c>
      <c r="R39" s="80">
        <v>288.125</v>
      </c>
    </row>
    <row r="40" ht="12.75" customHeight="1">
      <c r="M40" s="203">
        <f t="shared" ref="M40:R40" si="13">M38*M39</f>
        <v>6714.54193</v>
      </c>
      <c r="N40" s="203">
        <f t="shared" si="13"/>
        <v>3092.64</v>
      </c>
      <c r="O40" s="34">
        <f t="shared" si="13"/>
        <v>2924.6</v>
      </c>
      <c r="P40" s="204">
        <f t="shared" si="13"/>
        <v>3092.32</v>
      </c>
      <c r="Q40" s="204">
        <f t="shared" si="13"/>
        <v>3059.672</v>
      </c>
      <c r="R40" s="203">
        <f t="shared" si="13"/>
        <v>3169.375</v>
      </c>
      <c r="S40" s="34">
        <f>sum(N40:R40)</f>
        <v>15338.607</v>
      </c>
    </row>
    <row r="41" ht="12.75" customHeight="1">
      <c r="M41" s="76"/>
      <c r="N41" s="76"/>
      <c r="P41" s="82"/>
      <c r="Q41" s="82"/>
      <c r="R41" s="76"/>
    </row>
    <row r="42" ht="12.75" customHeight="1">
      <c r="A42" s="15">
        <v>45022.0</v>
      </c>
      <c r="M42" s="76">
        <f>SUMPRODUCT(G2:G27, X2:X27)</f>
        <v>6559.43</v>
      </c>
      <c r="N42" s="80">
        <v>3370.0</v>
      </c>
      <c r="O42" s="16">
        <v>1649.0</v>
      </c>
      <c r="P42" s="87">
        <v>3320.0</v>
      </c>
      <c r="Q42" s="87">
        <v>3476.0</v>
      </c>
      <c r="R42" s="80">
        <v>3765.0</v>
      </c>
      <c r="S42" s="8">
        <f>sum(N42:R42)</f>
        <v>15580</v>
      </c>
      <c r="T42" s="120">
        <f>S42/S40-1</f>
        <v>0.01573760903</v>
      </c>
    </row>
    <row r="43" ht="12.75" customHeight="1">
      <c r="M43" s="203">
        <f>M40-M42</f>
        <v>155.11193</v>
      </c>
      <c r="N43" s="205">
        <f t="shared" ref="N43:R43" si="14">N42-N40</f>
        <v>277.36</v>
      </c>
      <c r="O43" s="48">
        <f t="shared" si="14"/>
        <v>-1275.6</v>
      </c>
      <c r="P43" s="206">
        <f t="shared" si="14"/>
        <v>227.68</v>
      </c>
      <c r="Q43" s="206">
        <f t="shared" si="14"/>
        <v>416.328</v>
      </c>
      <c r="R43" s="205">
        <f t="shared" si="14"/>
        <v>595.625</v>
      </c>
      <c r="S43" s="34">
        <f>sum(M43:R43)</f>
        <v>396.50493</v>
      </c>
    </row>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sheetData>
  <printOptions/>
  <pageMargins bottom="0.7875" footer="0.0" header="0.0" left="0.7875" right="0.7875" top="0.7875"/>
  <pageSetup paperSize="9" orientation="landscape" pageOrder="overThenDown"/>
  <drawing r:id="rId1"/>
</worksheet>
</file>